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Financial" sheetId="1" r:id="rId4"/>
    <sheet state="visible" name="2026 goals" sheetId="2" r:id="rId5"/>
    <sheet state="visible" name="2025" sheetId="3" r:id="rId6"/>
    <sheet state="visible" name="2024" sheetId="4" r:id="rId7"/>
    <sheet state="visible" name="2023" sheetId="5" r:id="rId8"/>
  </sheets>
  <definedNames/>
  <calcPr/>
</workbook>
</file>

<file path=xl/sharedStrings.xml><?xml version="1.0" encoding="utf-8"?>
<sst xmlns="http://schemas.openxmlformats.org/spreadsheetml/2006/main" count="431" uniqueCount="204">
  <si>
    <t>f</t>
  </si>
  <si>
    <t>Name / TG Handle</t>
  </si>
  <si>
    <t>Recession (0 no, 1 yes)</t>
  </si>
  <si>
    <t>S&amp;P High</t>
  </si>
  <si>
    <t xml:space="preserve">S&amp;P Low </t>
  </si>
  <si>
    <t>S&amp;P Close</t>
  </si>
  <si>
    <t>NDQ High</t>
  </si>
  <si>
    <t>NDQ Low</t>
  </si>
  <si>
    <t>NDQ Close</t>
  </si>
  <si>
    <t>GOLD High</t>
  </si>
  <si>
    <t>GOLD Low</t>
  </si>
  <si>
    <t>GOLD Close</t>
  </si>
  <si>
    <t>BTC High</t>
  </si>
  <si>
    <t>BTC Low</t>
  </si>
  <si>
    <t>BTC Close</t>
  </si>
  <si>
    <t>ETH High</t>
  </si>
  <si>
    <t>ETH Low</t>
  </si>
  <si>
    <t>ETH Close</t>
  </si>
  <si>
    <t>SOL High</t>
  </si>
  <si>
    <t>SOL Low</t>
  </si>
  <si>
    <t>SOL Close</t>
  </si>
  <si>
    <t>Fartcoin High</t>
  </si>
  <si>
    <t>Fartcoin Low</t>
  </si>
  <si>
    <t>Fartcoin Close</t>
  </si>
  <si>
    <t>Best LLM Model Provider EoY</t>
  </si>
  <si>
    <t>Will OAI/Anthropic File for IPO By EoY?</t>
  </si>
  <si>
    <t>Best Mag 7 Performer</t>
  </si>
  <si>
    <t>Brian / Algo Whisperer</t>
  </si>
  <si>
    <t>Google</t>
  </si>
  <si>
    <t>Tesla</t>
  </si>
  <si>
    <t>Adam/Squee</t>
  </si>
  <si>
    <t>AlexCorrino</t>
  </si>
  <si>
    <t>Beautiful GOOG</t>
  </si>
  <si>
    <t>No</t>
  </si>
  <si>
    <t>Clayton</t>
  </si>
  <si>
    <t>OAI no Anthropic Yes</t>
  </si>
  <si>
    <t>Apple</t>
  </si>
  <si>
    <t>alta</t>
  </si>
  <si>
    <t xml:space="preserve"> OpenAI</t>
  </si>
  <si>
    <t>AMZN</t>
  </si>
  <si>
    <t>g3</t>
  </si>
  <si>
    <t>GOOG</t>
  </si>
  <si>
    <t>Kelly</t>
  </si>
  <si>
    <t>Glantz</t>
  </si>
  <si>
    <t>Kevin</t>
  </si>
  <si>
    <t>Goog</t>
  </si>
  <si>
    <t>Joe C</t>
  </si>
  <si>
    <t>Anthropic</t>
  </si>
  <si>
    <t>Primo</t>
  </si>
  <si>
    <t>OpenAI</t>
  </si>
  <si>
    <t>OAI no / Anthropic yes</t>
  </si>
  <si>
    <t>AleksK</t>
  </si>
  <si>
    <t>File, but withdraw</t>
  </si>
  <si>
    <t>Max Power</t>
  </si>
  <si>
    <t>Brad/Sylvan</t>
  </si>
  <si>
    <t>Chumba</t>
  </si>
  <si>
    <t>Peter Jennings</t>
  </si>
  <si>
    <t>OAI no/ Anthropic yes</t>
  </si>
  <si>
    <t>Tesla, Robotics!</t>
  </si>
  <si>
    <t>Garrett</t>
  </si>
  <si>
    <t>Mean</t>
  </si>
  <si>
    <t>Median</t>
  </si>
  <si>
    <t>Min</t>
  </si>
  <si>
    <t>Max</t>
  </si>
  <si>
    <t>Person</t>
  </si>
  <si>
    <t>Goals</t>
  </si>
  <si>
    <t>Achieved?</t>
  </si>
  <si>
    <t>Notes</t>
  </si>
  <si>
    <t>Don N</t>
  </si>
  <si>
    <t>1)  330 BJJ classes</t>
  </si>
  <si>
    <t>n/a</t>
  </si>
  <si>
    <t>2)  &lt;13% bodyfat</t>
  </si>
  <si>
    <t>3)  Gain 3 pounds of lean</t>
  </si>
  <si>
    <t>Ken L</t>
  </si>
  <si>
    <t>Smash Don in 2026 Thankgiving Meetup</t>
  </si>
  <si>
    <t>Raf</t>
  </si>
  <si>
    <t>try BJJ</t>
  </si>
  <si>
    <t>join padel house</t>
  </si>
  <si>
    <t>~180lb 12% BF</t>
  </si>
  <si>
    <t>Dave</t>
  </si>
  <si>
    <t>21 lucid dreams</t>
  </si>
  <si>
    <t>5.0 dupr in pickle</t>
  </si>
  <si>
    <t xml:space="preserve">test over 666 natty </t>
  </si>
  <si>
    <t>get bobby into bjj</t>
  </si>
  <si>
    <t>apob under 60</t>
  </si>
  <si>
    <t>Brian T</t>
  </si>
  <si>
    <t>1) &lt;15% BF while maintaining 138 lbs lean mass; means losing 5lbs of fat.</t>
  </si>
  <si>
    <t>2) 4x20min mobility work; focus on shoulder and swim longevity.</t>
  </si>
  <si>
    <t>3) 4x a week 1hr 15min masters swimming.</t>
  </si>
  <si>
    <t>4) 4x hour weight session with a coach.</t>
  </si>
  <si>
    <t>5) 8000 steps a day</t>
  </si>
  <si>
    <t>Petes</t>
  </si>
  <si>
    <t>Get to scratch</t>
  </si>
  <si>
    <t>Brandon A</t>
  </si>
  <si>
    <t>sub 42min Big Loop in Central Park, Sept.</t>
  </si>
  <si>
    <t>Sub 20min 3mile</t>
  </si>
  <si>
    <t>90sec hang</t>
  </si>
  <si>
    <t>3min plank</t>
  </si>
  <si>
    <t>50 pushups consecutive</t>
  </si>
  <si>
    <t>Beat Benefield in tennis</t>
  </si>
  <si>
    <t>Brett R</t>
  </si>
  <si>
    <t>run 30+ miles in 40+ weeks</t>
  </si>
  <si>
    <t>launch 3+ side projects</t>
  </si>
  <si>
    <t>Cy</t>
  </si>
  <si>
    <t>50 Whoop Biomarkers in Optimal Range</t>
  </si>
  <si>
    <t xml:space="preserve">No whoop biomarkers out of range (non-genetic) </t>
  </si>
  <si>
    <t xml:space="preserve">Set of 10 pull-ups </t>
  </si>
  <si>
    <t xml:space="preserve">175+ Days Green recovery on whoop </t>
  </si>
  <si>
    <t xml:space="preserve">120+ Strength Training Days Logged </t>
  </si>
  <si>
    <t>Andre N</t>
  </si>
  <si>
    <t>&lt;16% bodyfat</t>
  </si>
  <si>
    <t>Climb 3 routes rated 5.12 (indoor)</t>
  </si>
  <si>
    <t>5 weighted pull ups + 30% BW</t>
  </si>
  <si>
    <t>Daut</t>
  </si>
  <si>
    <t>Ignoring exercise apps and video monitor for kids, &lt;1 hour phone screen time per day</t>
  </si>
  <si>
    <t>Thomas S</t>
  </si>
  <si>
    <t>hold 30s handstand</t>
  </si>
  <si>
    <t>120kg front squat</t>
  </si>
  <si>
    <t>100kg bench</t>
  </si>
  <si>
    <t>full pancake stretch</t>
  </si>
  <si>
    <t>10 pull-ups</t>
  </si>
  <si>
    <t>Margin Called</t>
  </si>
  <si>
    <t>no more loaning random people money</t>
  </si>
  <si>
    <t>15% bf</t>
  </si>
  <si>
    <t>take more party intensifiers and consciousness enhancers with friends</t>
  </si>
  <si>
    <t>not use more than 2x leverage (and even then mostly for points farming)</t>
  </si>
  <si>
    <t>go on at least 10 dates with legitimate wife candidates</t>
  </si>
  <si>
    <t>not fade evan's fucking calls</t>
  </si>
  <si>
    <t>Cole</t>
  </si>
  <si>
    <t>Jiu Jitsu: compete 10 times, hit a takedown in competition</t>
  </si>
  <si>
    <t>Alcohol: one sober month one sober week/month, never drink 2 nights in a row in San Diego</t>
  </si>
  <si>
    <t>Family: go camping at least once a quarter, solo overnight trip with each kid</t>
  </si>
  <si>
    <t>Marriage: knock wife up one more time, 2x bigger overnight trips, 2x one night staycations</t>
  </si>
  <si>
    <t>Adam</t>
  </si>
  <si>
    <t xml:space="preserve">Dexa Scan/Vo2 max measurement improvement </t>
  </si>
  <si>
    <t>250 days with a 45+min peloton ride</t>
  </si>
  <si>
    <t>150 strength training days, no PR target, major lifts where 10x3 = move up weight to 5x3, consistency</t>
  </si>
  <si>
    <t>15% bodyfat</t>
  </si>
  <si>
    <t>find Mrs Joe C and propose</t>
  </si>
  <si>
    <t>14% bodyfat</t>
  </si>
  <si>
    <t>launch something built around AI, even if just a side project</t>
  </si>
  <si>
    <t>French B2 proficiency before May (1 year)</t>
  </si>
  <si>
    <t>Stay not fat</t>
  </si>
  <si>
    <t>Mystery goal</t>
  </si>
  <si>
    <t xml:space="preserve">meditate 10-20min avg 4x per week </t>
  </si>
  <si>
    <t>Recession (0 = no, 1 = yes)</t>
  </si>
  <si>
    <t>NASDAQ High</t>
  </si>
  <si>
    <t>NASDAQ Low</t>
  </si>
  <si>
    <t>NASDAQ Close</t>
  </si>
  <si>
    <t>Justin Bram</t>
  </si>
  <si>
    <t>Raf M</t>
  </si>
  <si>
    <t>Yo</t>
  </si>
  <si>
    <t>Alex Corrino</t>
  </si>
  <si>
    <t>Tom McLaughlin</t>
  </si>
  <si>
    <t>Jake A</t>
  </si>
  <si>
    <t>Alta</t>
  </si>
  <si>
    <t>Andrew Robl</t>
  </si>
  <si>
    <t>Wallace</t>
  </si>
  <si>
    <t>petes</t>
  </si>
  <si>
    <t>Derek W</t>
  </si>
  <si>
    <t>Jesse R</t>
  </si>
  <si>
    <t xml:space="preserve">leath </t>
  </si>
  <si>
    <t>Dylan L</t>
  </si>
  <si>
    <t>Squee</t>
  </si>
  <si>
    <t>∞</t>
  </si>
  <si>
    <t>Taiki</t>
  </si>
  <si>
    <t>thomas / ufuft</t>
  </si>
  <si>
    <t>david/immutable</t>
  </si>
  <si>
    <t>G3</t>
  </si>
  <si>
    <t>Mike</t>
  </si>
  <si>
    <t>Rast / Algo</t>
  </si>
  <si>
    <t>stonks lol</t>
  </si>
  <si>
    <t>Beanstalk</t>
  </si>
  <si>
    <t>Presidency</t>
  </si>
  <si>
    <t>ADA High</t>
  </si>
  <si>
    <t>ADA Low</t>
  </si>
  <si>
    <t>ADA Close</t>
  </si>
  <si>
    <t>Biden</t>
  </si>
  <si>
    <t>Trump</t>
  </si>
  <si>
    <t>Margin_Called</t>
  </si>
  <si>
    <t>Thomas McLaughlin</t>
  </si>
  <si>
    <t>Haley</t>
  </si>
  <si>
    <t xml:space="preserve">Trump </t>
  </si>
  <si>
    <t>Aleks K</t>
  </si>
  <si>
    <t>RFK</t>
  </si>
  <si>
    <t>Yo Sub</t>
  </si>
  <si>
    <t>Leath</t>
  </si>
  <si>
    <t xml:space="preserve">Jake </t>
  </si>
  <si>
    <t> 125000</t>
  </si>
  <si>
    <t>Ryan Daut</t>
  </si>
  <si>
    <t>EzPz</t>
  </si>
  <si>
    <t>Derek</t>
  </si>
  <si>
    <t>recession (0 = no, 1 = yes)</t>
  </si>
  <si>
    <t>Bonus: Tesla Low</t>
  </si>
  <si>
    <t>?</t>
  </si>
  <si>
    <t>Don Nguyen</t>
  </si>
  <si>
    <t>Ken Liu</t>
  </si>
  <si>
    <t>Clayton / cnew3737</t>
  </si>
  <si>
    <t>Pete Peterson</t>
  </si>
  <si>
    <t>Bethany (CupcakeandHoneyB)</t>
  </si>
  <si>
    <t>Jake / JLlama</t>
  </si>
  <si>
    <t>Alex K</t>
  </si>
  <si>
    <t xml:space="preserve">Derek W </t>
  </si>
  <si>
    <t>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</si>
</sst>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rgb="FF232A31"/>
      <name val="&quot;Yahoo Sans Finance&quot;"/>
    </font>
    <font>
      <color rgb="FF232A3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67C73"/>
        <bgColor rgb="FFE67C73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45F06"/>
        <bgColor rgb="FFB45F06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9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3" xfId="0" applyFont="1" applyNumberFormat="1"/>
    <xf borderId="0" fillId="0" fontId="3" numFmtId="3" xfId="0" applyAlignment="1" applyFont="1" applyNumberFormat="1">
      <alignment horizontal="center"/>
    </xf>
    <xf borderId="0" fillId="0" fontId="3" numFmtId="3" xfId="0" applyFont="1" applyNumberFormat="1"/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3" numFmtId="9" xfId="0" applyAlignment="1" applyFont="1" applyNumberFormat="1">
      <alignment horizontal="center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2" fontId="4" numFmtId="0" xfId="0" applyAlignment="1" applyFont="1">
      <alignment horizontal="right" readingOrder="0"/>
    </xf>
    <xf borderId="0" fillId="4" fontId="4" numFmtId="0" xfId="0" applyAlignment="1" applyFill="1" applyFont="1">
      <alignment horizontal="right" readingOrder="0"/>
    </xf>
    <xf borderId="0" fillId="0" fontId="4" numFmtId="4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5" fontId="3" numFmtId="0" xfId="0" applyAlignment="1" applyFill="1" applyFont="1">
      <alignment horizontal="right" readingOrder="0"/>
    </xf>
    <xf borderId="0" fillId="0" fontId="3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5" fontId="3" numFmtId="0" xfId="0" applyAlignment="1" applyFont="1">
      <alignment readingOrder="0"/>
    </xf>
    <xf borderId="0" fillId="5" fontId="3" numFmtId="4" xfId="0" applyAlignment="1" applyFont="1" applyNumberFormat="1">
      <alignment readingOrder="0"/>
    </xf>
    <xf borderId="0" fillId="5" fontId="5" numFmtId="4" xfId="0" applyAlignment="1" applyFont="1" applyNumberFormat="1">
      <alignment horizontal="right" readingOrder="0"/>
    </xf>
    <xf borderId="0" fillId="5" fontId="1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/>
    </xf>
    <xf borderId="0" fillId="6" fontId="3" numFmtId="0" xfId="0" applyAlignment="1" applyFill="1" applyFont="1">
      <alignment horizontal="right" readingOrder="0"/>
    </xf>
    <xf borderId="0" fillId="7" fontId="5" numFmtId="4" xfId="0" applyAlignment="1" applyFill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8" fontId="3" numFmtId="0" xfId="0" applyFill="1" applyFont="1"/>
    <xf borderId="0" fillId="9" fontId="3" numFmtId="0" xfId="0" applyFill="1" applyFont="1"/>
    <xf borderId="0" fillId="10" fontId="3" numFmtId="0" xfId="0" applyFill="1" applyFont="1"/>
    <xf borderId="0" fillId="0" fontId="3" numFmtId="3" xfId="0" applyAlignment="1" applyFont="1" applyNumberFormat="1">
      <alignment horizontal="right"/>
    </xf>
    <xf borderId="0" fillId="7" fontId="7" numFmtId="3" xfId="0" applyAlignment="1" applyFont="1" applyNumberFormat="1">
      <alignment horizontal="right" readingOrder="0" shrinkToFit="0" wrapText="0"/>
    </xf>
    <xf borderId="0" fillId="7" fontId="8" numFmtId="3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26" max="26" width="32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5"/>
      <c r="B2" s="5" t="s">
        <v>27</v>
      </c>
      <c r="C2" s="6">
        <v>0.0</v>
      </c>
      <c r="D2" s="7">
        <v>7620.0</v>
      </c>
      <c r="E2" s="7">
        <v>6520.0</v>
      </c>
      <c r="F2" s="8">
        <v>7370.0</v>
      </c>
      <c r="G2" s="7">
        <v>29600.0</v>
      </c>
      <c r="H2" s="7">
        <v>23845.0</v>
      </c>
      <c r="I2" s="7">
        <v>27750.0</v>
      </c>
      <c r="J2" s="7">
        <v>5020.0</v>
      </c>
      <c r="K2" s="7">
        <v>4010.0</v>
      </c>
      <c r="L2" s="7">
        <v>4645.0</v>
      </c>
      <c r="M2" s="7">
        <v>188000.0</v>
      </c>
      <c r="N2" s="7">
        <v>86000.0</v>
      </c>
      <c r="O2" s="7">
        <v>155000.0</v>
      </c>
      <c r="P2" s="7">
        <v>6420.0</v>
      </c>
      <c r="Q2" s="7">
        <v>2960.0</v>
      </c>
      <c r="R2" s="7">
        <v>4850.0</v>
      </c>
      <c r="S2" s="9">
        <v>220.0</v>
      </c>
      <c r="T2" s="9">
        <v>124.0</v>
      </c>
      <c r="U2" s="9">
        <v>180.0</v>
      </c>
      <c r="V2" s="5"/>
      <c r="W2" s="5"/>
      <c r="X2" s="5"/>
      <c r="Y2" s="5" t="s">
        <v>28</v>
      </c>
      <c r="Z2" s="5"/>
      <c r="AA2" s="5" t="s">
        <v>29</v>
      </c>
    </row>
    <row r="3">
      <c r="A3" s="5"/>
      <c r="B3" s="5" t="s">
        <v>30</v>
      </c>
      <c r="C3" s="6">
        <v>0.0</v>
      </c>
      <c r="D3" s="7">
        <v>7400.0</v>
      </c>
      <c r="E3" s="7">
        <v>6400.0</v>
      </c>
      <c r="F3" s="8">
        <v>6900.0</v>
      </c>
      <c r="G3" s="7">
        <v>29000.0</v>
      </c>
      <c r="H3" s="7">
        <v>22000.0</v>
      </c>
      <c r="I3" s="7">
        <v>26000.0</v>
      </c>
      <c r="J3" s="7">
        <v>4900.0</v>
      </c>
      <c r="K3" s="7">
        <v>4080.0</v>
      </c>
      <c r="L3" s="7">
        <v>4900.0</v>
      </c>
      <c r="M3" s="7">
        <v>130000.0</v>
      </c>
      <c r="N3" s="7">
        <v>65000.0</v>
      </c>
      <c r="O3" s="7">
        <v>125000.0</v>
      </c>
      <c r="P3" s="9">
        <v>4500.0</v>
      </c>
      <c r="Q3" s="9">
        <v>2200.0</v>
      </c>
      <c r="R3" s="9">
        <v>4100.0</v>
      </c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5" t="s">
        <v>31</v>
      </c>
      <c r="C4" s="6">
        <v>0.0</v>
      </c>
      <c r="D4" s="7">
        <v>7900.0</v>
      </c>
      <c r="E4" s="7">
        <v>6420.0</v>
      </c>
      <c r="F4" s="8">
        <v>7777.0</v>
      </c>
      <c r="G4" s="7">
        <v>31000.0</v>
      </c>
      <c r="H4" s="7">
        <v>22222.0</v>
      </c>
      <c r="I4" s="7">
        <v>29000.0</v>
      </c>
      <c r="J4" s="7">
        <v>4888.0</v>
      </c>
      <c r="K4" s="7">
        <v>4180.0</v>
      </c>
      <c r="L4" s="7">
        <v>4750.0</v>
      </c>
      <c r="M4" s="7">
        <v>131000.0</v>
      </c>
      <c r="N4" s="7">
        <v>83000.0</v>
      </c>
      <c r="O4" s="7">
        <v>111000.0</v>
      </c>
      <c r="P4" s="10"/>
      <c r="Q4" s="10"/>
      <c r="R4" s="10"/>
      <c r="S4" s="5"/>
      <c r="T4" s="5"/>
      <c r="U4" s="5"/>
      <c r="V4" s="5"/>
      <c r="W4" s="5"/>
      <c r="X4" s="5"/>
      <c r="Y4" s="5" t="s">
        <v>32</v>
      </c>
      <c r="Z4" s="5" t="s">
        <v>33</v>
      </c>
      <c r="AA4" s="5" t="s">
        <v>32</v>
      </c>
    </row>
    <row r="5">
      <c r="A5" s="5"/>
      <c r="B5" s="5" t="s">
        <v>34</v>
      </c>
      <c r="C5" s="6">
        <v>0.0</v>
      </c>
      <c r="D5" s="7">
        <v>8100.0</v>
      </c>
      <c r="E5" s="7">
        <v>6700.0</v>
      </c>
      <c r="F5" s="8">
        <v>7200.0</v>
      </c>
      <c r="G5" s="7">
        <v>30000.0</v>
      </c>
      <c r="H5" s="7">
        <v>21000.0</v>
      </c>
      <c r="I5" s="7">
        <v>25000.0</v>
      </c>
      <c r="J5" s="7">
        <v>4400.0</v>
      </c>
      <c r="K5" s="7">
        <v>3300.0</v>
      </c>
      <c r="L5" s="7">
        <v>3700.0</v>
      </c>
      <c r="M5" s="7">
        <v>110000.0</v>
      </c>
      <c r="N5" s="7">
        <v>63000.0</v>
      </c>
      <c r="O5" s="7">
        <v>78000.0</v>
      </c>
      <c r="P5" s="9">
        <v>3400.0</v>
      </c>
      <c r="Q5" s="9">
        <v>2000.0</v>
      </c>
      <c r="R5" s="9">
        <v>2700.0</v>
      </c>
      <c r="S5" s="11">
        <v>170.0</v>
      </c>
      <c r="T5" s="11">
        <v>110.0</v>
      </c>
      <c r="U5" s="11">
        <v>160.0</v>
      </c>
      <c r="V5" s="11">
        <v>0.7</v>
      </c>
      <c r="W5" s="11">
        <v>0.2</v>
      </c>
      <c r="X5" s="11">
        <v>0.2</v>
      </c>
      <c r="Y5" s="5" t="s">
        <v>32</v>
      </c>
      <c r="Z5" s="5" t="s">
        <v>35</v>
      </c>
      <c r="AA5" s="5" t="s">
        <v>36</v>
      </c>
    </row>
    <row r="6">
      <c r="A6" s="5"/>
      <c r="B6" s="5" t="s">
        <v>37</v>
      </c>
      <c r="C6" s="6">
        <v>0.0</v>
      </c>
      <c r="D6" s="12"/>
      <c r="E6" s="12"/>
      <c r="F6" s="8">
        <v>8180.0</v>
      </c>
      <c r="G6" s="12"/>
      <c r="H6" s="12"/>
      <c r="I6" s="12"/>
      <c r="J6" s="12"/>
      <c r="K6" s="12"/>
      <c r="L6" s="12"/>
      <c r="M6" s="12"/>
      <c r="N6" s="12"/>
      <c r="O6" s="7">
        <v>65000.0</v>
      </c>
      <c r="P6" s="10"/>
      <c r="Q6" s="10"/>
      <c r="R6" s="10"/>
      <c r="S6" s="5"/>
      <c r="T6" s="5"/>
      <c r="U6" s="5"/>
      <c r="V6" s="5"/>
      <c r="W6" s="5"/>
      <c r="X6" s="5"/>
      <c r="Y6" s="5" t="s">
        <v>38</v>
      </c>
      <c r="Z6" s="5" t="s">
        <v>33</v>
      </c>
      <c r="AA6" s="5" t="s">
        <v>39</v>
      </c>
    </row>
    <row r="7">
      <c r="A7" s="5"/>
      <c r="B7" s="5" t="s">
        <v>40</v>
      </c>
      <c r="C7" s="11">
        <v>0.0</v>
      </c>
      <c r="D7" s="7">
        <v>8200.0</v>
      </c>
      <c r="E7" s="7">
        <v>6750.0</v>
      </c>
      <c r="F7" s="7">
        <v>8000.0</v>
      </c>
      <c r="G7" s="7">
        <v>28500.0</v>
      </c>
      <c r="H7" s="7">
        <v>23000.0</v>
      </c>
      <c r="I7" s="7">
        <v>28000.0</v>
      </c>
      <c r="J7" s="7">
        <v>4900.0</v>
      </c>
      <c r="K7" s="7">
        <v>3800.0</v>
      </c>
      <c r="L7" s="7">
        <v>4400.0</v>
      </c>
      <c r="M7" s="7">
        <v>150000.0</v>
      </c>
      <c r="N7" s="7">
        <v>86000.0</v>
      </c>
      <c r="O7" s="7">
        <v>130000.0</v>
      </c>
      <c r="P7" s="9">
        <v>3800.0</v>
      </c>
      <c r="Q7" s="9">
        <v>2500.0</v>
      </c>
      <c r="R7" s="9">
        <v>3500.0</v>
      </c>
      <c r="S7" s="5"/>
      <c r="T7" s="5"/>
      <c r="U7" s="5"/>
      <c r="V7" s="5"/>
      <c r="W7" s="5"/>
      <c r="X7" s="5"/>
      <c r="Y7" s="5" t="s">
        <v>41</v>
      </c>
      <c r="Z7" s="5" t="s">
        <v>33</v>
      </c>
      <c r="AA7" s="5" t="s">
        <v>39</v>
      </c>
    </row>
    <row r="8">
      <c r="A8" s="5"/>
      <c r="B8" s="5" t="s">
        <v>42</v>
      </c>
      <c r="C8" s="6">
        <v>0.0</v>
      </c>
      <c r="D8" s="7">
        <v>8440.0</v>
      </c>
      <c r="E8" s="7">
        <v>6800.0</v>
      </c>
      <c r="F8" s="8">
        <v>7550.0</v>
      </c>
      <c r="G8" s="12"/>
      <c r="H8" s="12"/>
      <c r="I8" s="12"/>
      <c r="J8" s="12"/>
      <c r="K8" s="12"/>
      <c r="L8" s="12"/>
      <c r="M8" s="7">
        <v>122000.0</v>
      </c>
      <c r="N8" s="7">
        <v>89000.0</v>
      </c>
      <c r="O8" s="7">
        <v>119000.0</v>
      </c>
      <c r="P8" s="10"/>
      <c r="Q8" s="10"/>
      <c r="R8" s="10"/>
      <c r="S8" s="11">
        <v>275.0</v>
      </c>
      <c r="T8" s="11">
        <v>132.0</v>
      </c>
      <c r="U8" s="11">
        <v>245.0</v>
      </c>
      <c r="V8" s="5"/>
      <c r="W8" s="5"/>
      <c r="X8" s="5"/>
      <c r="Y8" s="5"/>
      <c r="Z8" s="5"/>
      <c r="AA8" s="5" t="s">
        <v>29</v>
      </c>
    </row>
    <row r="9">
      <c r="A9" s="5"/>
      <c r="B9" s="5" t="s">
        <v>43</v>
      </c>
      <c r="C9" s="6">
        <v>0.0</v>
      </c>
      <c r="D9" s="7">
        <v>7250.0</v>
      </c>
      <c r="E9" s="7">
        <v>5850.0</v>
      </c>
      <c r="F9" s="8">
        <v>7000.0</v>
      </c>
      <c r="G9" s="7">
        <v>26500.0</v>
      </c>
      <c r="H9" s="7">
        <v>21000.0</v>
      </c>
      <c r="I9" s="7">
        <v>25800.0</v>
      </c>
      <c r="J9" s="7">
        <v>7100.0</v>
      </c>
      <c r="K9" s="7">
        <v>4200.0</v>
      </c>
      <c r="L9" s="7">
        <v>6600.0</v>
      </c>
      <c r="M9" s="7">
        <v>98000.0</v>
      </c>
      <c r="N9" s="7">
        <v>62000.0</v>
      </c>
      <c r="O9" s="7">
        <v>68000.0</v>
      </c>
      <c r="P9" s="10"/>
      <c r="Q9" s="10"/>
      <c r="R9" s="10"/>
      <c r="S9" s="5"/>
      <c r="T9" s="5"/>
      <c r="U9" s="5"/>
      <c r="V9" s="5"/>
      <c r="W9" s="5"/>
      <c r="X9" s="5"/>
      <c r="Y9" s="5" t="s">
        <v>41</v>
      </c>
      <c r="Z9" s="5" t="s">
        <v>33</v>
      </c>
      <c r="AA9" s="5" t="s">
        <v>41</v>
      </c>
    </row>
    <row r="10">
      <c r="A10" s="5"/>
      <c r="B10" s="5" t="s">
        <v>44</v>
      </c>
      <c r="C10" s="6">
        <v>0.0</v>
      </c>
      <c r="D10" s="7">
        <v>7750.0</v>
      </c>
      <c r="E10" s="7">
        <v>6500.0</v>
      </c>
      <c r="F10" s="8">
        <v>7450.0</v>
      </c>
      <c r="G10" s="7">
        <v>28000.0</v>
      </c>
      <c r="H10" s="7">
        <v>21750.0</v>
      </c>
      <c r="I10" s="7">
        <v>26250.0</v>
      </c>
      <c r="J10" s="7">
        <v>4750.0</v>
      </c>
      <c r="K10" s="7">
        <v>3850.0</v>
      </c>
      <c r="L10" s="7">
        <v>4125.0</v>
      </c>
      <c r="M10" s="7">
        <v>115000.0</v>
      </c>
      <c r="N10" s="7">
        <v>75000.0</v>
      </c>
      <c r="O10" s="7">
        <v>87500.0</v>
      </c>
      <c r="P10" s="9">
        <v>3500.0</v>
      </c>
      <c r="Q10" s="9">
        <v>2150.0</v>
      </c>
      <c r="R10" s="9">
        <v>2750.0</v>
      </c>
      <c r="S10" s="11">
        <v>185.0</v>
      </c>
      <c r="T10" s="11">
        <v>105.0</v>
      </c>
      <c r="U10" s="11">
        <v>125.0</v>
      </c>
      <c r="V10" s="5"/>
      <c r="W10" s="5"/>
      <c r="X10" s="5"/>
      <c r="Y10" s="5" t="s">
        <v>45</v>
      </c>
      <c r="Z10" s="5" t="s">
        <v>33</v>
      </c>
      <c r="AA10" s="5" t="s">
        <v>29</v>
      </c>
    </row>
    <row r="11">
      <c r="A11" s="5"/>
      <c r="B11" s="5" t="s">
        <v>46</v>
      </c>
      <c r="C11" s="6">
        <v>0.0</v>
      </c>
      <c r="D11" s="7">
        <v>8280.0</v>
      </c>
      <c r="E11" s="7">
        <v>6831.0</v>
      </c>
      <c r="F11" s="8">
        <v>8100.0</v>
      </c>
      <c r="G11" s="7">
        <v>30420.0</v>
      </c>
      <c r="H11" s="7">
        <v>23120.0</v>
      </c>
      <c r="I11" s="7">
        <v>29000.0</v>
      </c>
      <c r="J11" s="7">
        <v>4800.0</v>
      </c>
      <c r="K11" s="7">
        <v>4200.0</v>
      </c>
      <c r="L11" s="7">
        <v>4600.0</v>
      </c>
      <c r="M11" s="7">
        <v>130000.0</v>
      </c>
      <c r="N11" s="7">
        <v>78000.0</v>
      </c>
      <c r="O11" s="7">
        <v>125000.0</v>
      </c>
      <c r="P11" s="9">
        <v>3264.0</v>
      </c>
      <c r="Q11" s="9">
        <v>2250.0</v>
      </c>
      <c r="R11" s="9">
        <v>2300.0</v>
      </c>
      <c r="S11" s="11">
        <v>180.0</v>
      </c>
      <c r="T11" s="11">
        <v>90.0</v>
      </c>
      <c r="U11" s="11">
        <v>135.0</v>
      </c>
      <c r="V11" s="5"/>
      <c r="W11" s="5"/>
      <c r="X11" s="5"/>
      <c r="Y11" s="5" t="s">
        <v>47</v>
      </c>
      <c r="Z11" s="5" t="s">
        <v>33</v>
      </c>
      <c r="AA11" s="5" t="s">
        <v>41</v>
      </c>
    </row>
    <row r="12">
      <c r="A12" s="5"/>
      <c r="B12" s="1" t="s">
        <v>48</v>
      </c>
      <c r="C12" s="1">
        <v>0.0</v>
      </c>
      <c r="D12" s="13">
        <v>7700.0</v>
      </c>
      <c r="E12" s="13">
        <v>6830.0</v>
      </c>
      <c r="F12" s="13">
        <v>7450.0</v>
      </c>
      <c r="G12" s="12"/>
      <c r="H12" s="12"/>
      <c r="I12" s="12"/>
      <c r="J12" s="12"/>
      <c r="K12" s="12"/>
      <c r="L12" s="12"/>
      <c r="M12" s="13">
        <v>148000.0</v>
      </c>
      <c r="N12" s="13">
        <v>88000.0</v>
      </c>
      <c r="O12" s="13">
        <v>148000.0</v>
      </c>
      <c r="P12" s="14">
        <v>4200.0</v>
      </c>
      <c r="Q12" s="14">
        <v>2750.0</v>
      </c>
      <c r="R12" s="14">
        <v>3500.0</v>
      </c>
      <c r="S12" s="5"/>
      <c r="T12" s="5"/>
      <c r="U12" s="5"/>
      <c r="V12" s="5"/>
      <c r="W12" s="5"/>
      <c r="X12" s="5"/>
      <c r="Y12" s="1" t="s">
        <v>49</v>
      </c>
      <c r="Z12" s="1" t="s">
        <v>50</v>
      </c>
      <c r="AA12" s="5"/>
    </row>
    <row r="13">
      <c r="A13" s="5"/>
      <c r="B13" s="1" t="s">
        <v>51</v>
      </c>
      <c r="C13" s="1">
        <v>1.0</v>
      </c>
      <c r="D13" s="13">
        <v>7700.0</v>
      </c>
      <c r="E13" s="13">
        <v>5500.0</v>
      </c>
      <c r="F13" s="13">
        <v>6000.0</v>
      </c>
      <c r="G13" s="13">
        <v>33000.0</v>
      </c>
      <c r="H13" s="13">
        <v>18000.0</v>
      </c>
      <c r="I13" s="13">
        <v>20000.0</v>
      </c>
      <c r="J13" s="13">
        <v>5500.0</v>
      </c>
      <c r="K13" s="13">
        <v>4700.0</v>
      </c>
      <c r="L13" s="13">
        <v>5000.0</v>
      </c>
      <c r="M13" s="13">
        <v>110000.0</v>
      </c>
      <c r="N13" s="13">
        <v>50000.0</v>
      </c>
      <c r="O13" s="13">
        <v>70000.0</v>
      </c>
      <c r="P13" s="14">
        <v>4000.0</v>
      </c>
      <c r="Q13" s="14">
        <v>2000.0</v>
      </c>
      <c r="R13" s="14">
        <v>2200.0</v>
      </c>
      <c r="S13" s="5"/>
      <c r="T13" s="5"/>
      <c r="U13" s="5"/>
      <c r="V13" s="5"/>
      <c r="W13" s="5"/>
      <c r="X13" s="5"/>
      <c r="Y13" s="5"/>
      <c r="Z13" s="1" t="s">
        <v>52</v>
      </c>
      <c r="AA13" s="1" t="s">
        <v>41</v>
      </c>
    </row>
    <row r="14">
      <c r="A14" s="5"/>
      <c r="B14" s="1" t="s">
        <v>53</v>
      </c>
      <c r="C14" s="1">
        <v>0.0</v>
      </c>
      <c r="D14" s="13">
        <v>7600.0</v>
      </c>
      <c r="E14" s="13">
        <v>6750.0</v>
      </c>
      <c r="F14" s="13">
        <v>7450.0</v>
      </c>
      <c r="G14" s="12"/>
      <c r="H14" s="12"/>
      <c r="I14" s="12"/>
      <c r="J14" s="13">
        <v>5000.0</v>
      </c>
      <c r="K14" s="13">
        <v>4350.0</v>
      </c>
      <c r="L14" s="13">
        <v>5000.0</v>
      </c>
      <c r="M14" s="13">
        <v>149000.0</v>
      </c>
      <c r="N14" s="13">
        <v>72000.0</v>
      </c>
      <c r="O14" s="13">
        <v>147000.0</v>
      </c>
      <c r="P14" s="14">
        <v>4100.0</v>
      </c>
      <c r="Q14" s="14">
        <v>2600.0</v>
      </c>
      <c r="R14" s="14">
        <v>2800.0</v>
      </c>
      <c r="S14" s="5"/>
      <c r="T14" s="5"/>
      <c r="U14" s="5"/>
      <c r="V14" s="5"/>
      <c r="W14" s="5"/>
      <c r="X14" s="5"/>
      <c r="Y14" s="1" t="s">
        <v>28</v>
      </c>
      <c r="Z14" s="5"/>
      <c r="AA14" s="5"/>
    </row>
    <row r="15">
      <c r="A15" s="5"/>
      <c r="B15" s="1" t="s">
        <v>54</v>
      </c>
      <c r="C15" s="1">
        <v>0.0</v>
      </c>
      <c r="D15" s="13">
        <v>7950.0</v>
      </c>
      <c r="E15" s="13">
        <v>6800.0</v>
      </c>
      <c r="F15" s="13">
        <v>7850.0</v>
      </c>
      <c r="G15" s="13">
        <v>30500.0</v>
      </c>
      <c r="H15" s="13">
        <v>23150.0</v>
      </c>
      <c r="I15" s="13">
        <v>29250.0</v>
      </c>
      <c r="J15" s="13">
        <v>4950.0</v>
      </c>
      <c r="K15" s="13">
        <v>4300.0</v>
      </c>
      <c r="L15" s="13">
        <v>4950.0</v>
      </c>
      <c r="M15" s="13">
        <v>178000.0</v>
      </c>
      <c r="N15" s="13">
        <v>88000.0</v>
      </c>
      <c r="O15" s="13">
        <v>168000.0</v>
      </c>
      <c r="P15" s="14">
        <v>6900.0</v>
      </c>
      <c r="Q15" s="14">
        <v>2970.0</v>
      </c>
      <c r="R15" s="14">
        <v>5420.0</v>
      </c>
      <c r="S15" s="5"/>
      <c r="T15" s="5"/>
      <c r="U15" s="5"/>
      <c r="V15" s="5"/>
      <c r="W15" s="5"/>
      <c r="X15" s="5"/>
      <c r="Y15" s="1" t="s">
        <v>28</v>
      </c>
      <c r="Z15" s="1" t="s">
        <v>33</v>
      </c>
      <c r="AA15" s="1" t="s">
        <v>29</v>
      </c>
    </row>
    <row r="16">
      <c r="A16" s="5"/>
      <c r="B16" s="1" t="s">
        <v>55</v>
      </c>
      <c r="C16" s="1">
        <v>0.0</v>
      </c>
      <c r="D16" s="13">
        <v>7400.0</v>
      </c>
      <c r="E16" s="13">
        <v>6100.0</v>
      </c>
      <c r="F16" s="13">
        <v>6900.0</v>
      </c>
      <c r="G16" s="12"/>
      <c r="H16" s="12"/>
      <c r="I16" s="12"/>
      <c r="J16" s="13">
        <v>4900.0</v>
      </c>
      <c r="K16" s="13">
        <v>3900.0</v>
      </c>
      <c r="L16" s="13">
        <v>4600.0</v>
      </c>
      <c r="M16" s="13">
        <v>125000.0</v>
      </c>
      <c r="N16" s="13">
        <v>64000.0</v>
      </c>
      <c r="O16" s="13">
        <v>90000.0</v>
      </c>
      <c r="P16" s="10"/>
      <c r="Q16" s="10"/>
      <c r="R16" s="10"/>
      <c r="S16" s="5"/>
      <c r="T16" s="5"/>
      <c r="U16" s="5"/>
      <c r="V16" s="1">
        <v>1.4</v>
      </c>
      <c r="W16" s="1">
        <v>0.2</v>
      </c>
      <c r="X16" s="1">
        <v>0.8</v>
      </c>
      <c r="Y16" s="1"/>
      <c r="AA16" s="1" t="s">
        <v>41</v>
      </c>
    </row>
    <row r="17">
      <c r="A17" s="5"/>
      <c r="B17" s="1" t="s">
        <v>56</v>
      </c>
      <c r="C17" s="1">
        <v>0.0</v>
      </c>
      <c r="D17" s="13">
        <v>7850.0</v>
      </c>
      <c r="E17" s="13">
        <v>6250.0</v>
      </c>
      <c r="F17" s="13">
        <v>7000.0</v>
      </c>
      <c r="G17" s="13">
        <v>31000.0</v>
      </c>
      <c r="H17" s="13">
        <v>23000.0</v>
      </c>
      <c r="I17" s="13">
        <v>26000.0</v>
      </c>
      <c r="J17" s="13">
        <v>5200.0</v>
      </c>
      <c r="K17" s="13">
        <v>4050.0</v>
      </c>
      <c r="L17" s="13">
        <v>5000.0</v>
      </c>
      <c r="M17" s="13">
        <v>180000.0</v>
      </c>
      <c r="N17" s="13">
        <v>86000.0</v>
      </c>
      <c r="O17" s="13">
        <v>98000.0</v>
      </c>
      <c r="P17" s="14">
        <v>4900.0</v>
      </c>
      <c r="Q17" s="14">
        <v>2200.0</v>
      </c>
      <c r="R17" s="14">
        <v>3300.0</v>
      </c>
      <c r="S17" s="1">
        <v>270.0</v>
      </c>
      <c r="T17" s="1">
        <v>105.0</v>
      </c>
      <c r="U17" s="1">
        <v>150.0</v>
      </c>
      <c r="V17" s="5"/>
      <c r="W17" s="5"/>
      <c r="X17" s="5"/>
      <c r="Y17" s="1" t="s">
        <v>28</v>
      </c>
      <c r="Z17" s="1" t="s">
        <v>57</v>
      </c>
      <c r="AA17" s="1" t="s">
        <v>58</v>
      </c>
    </row>
    <row r="18">
      <c r="A18" s="5"/>
      <c r="B18" s="1" t="s">
        <v>59</v>
      </c>
      <c r="C18" s="1">
        <v>0.0</v>
      </c>
      <c r="D18" s="13">
        <v>7975.0</v>
      </c>
      <c r="E18" s="13">
        <v>6325.0</v>
      </c>
      <c r="F18" s="13">
        <v>7380.0</v>
      </c>
      <c r="G18" s="13">
        <v>29550.0</v>
      </c>
      <c r="H18" s="13">
        <v>22125.0</v>
      </c>
      <c r="I18" s="13">
        <v>27250.0</v>
      </c>
      <c r="J18" s="13">
        <v>4925.0</v>
      </c>
      <c r="K18" s="13">
        <v>4075.0</v>
      </c>
      <c r="L18" s="13">
        <v>4785.0</v>
      </c>
      <c r="M18" s="13">
        <v>145000.0</v>
      </c>
      <c r="N18" s="13">
        <v>87500.0</v>
      </c>
      <c r="O18" s="13">
        <v>110000.0</v>
      </c>
      <c r="P18" s="14">
        <v>6800.0</v>
      </c>
      <c r="Q18" s="14">
        <v>2965.0</v>
      </c>
      <c r="R18" s="14">
        <v>5000.0</v>
      </c>
      <c r="S18" s="5"/>
      <c r="T18" s="5"/>
      <c r="U18" s="5"/>
      <c r="V18" s="5"/>
      <c r="W18" s="5"/>
      <c r="X18" s="5"/>
      <c r="Y18" s="1" t="s">
        <v>41</v>
      </c>
      <c r="Z18" s="5"/>
      <c r="AA18" s="1" t="s">
        <v>41</v>
      </c>
    </row>
    <row r="19">
      <c r="A19" s="5"/>
      <c r="B19" s="5"/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0"/>
      <c r="Q19" s="10"/>
      <c r="R19" s="10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0"/>
      <c r="Q20" s="10"/>
      <c r="R20" s="10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0"/>
      <c r="Q21" s="10"/>
      <c r="R21" s="10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0"/>
      <c r="Q22" s="10"/>
      <c r="R22" s="10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0"/>
      <c r="Q23" s="10"/>
      <c r="R23" s="10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0"/>
      <c r="Q24" s="10"/>
      <c r="R24" s="10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0"/>
      <c r="Q25" s="10"/>
      <c r="R25" s="10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0"/>
      <c r="Q26" s="10"/>
      <c r="R26" s="10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0"/>
      <c r="Q27" s="10"/>
      <c r="R27" s="10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0"/>
      <c r="Q28" s="10"/>
      <c r="R28" s="10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12"/>
      <c r="G31" s="5"/>
      <c r="H31" s="5"/>
      <c r="I31" s="5"/>
      <c r="J31" s="12"/>
      <c r="K31" s="5"/>
      <c r="L31" s="1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12"/>
      <c r="G32" s="5"/>
      <c r="H32" s="5"/>
      <c r="I32" s="5"/>
      <c r="J32" s="12"/>
      <c r="K32" s="5"/>
      <c r="L32" s="1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12"/>
      <c r="G33" s="5"/>
      <c r="H33" s="5"/>
      <c r="I33" s="5"/>
      <c r="J33" s="12"/>
      <c r="K33" s="5"/>
      <c r="L33" s="1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12"/>
      <c r="G34" s="5"/>
      <c r="H34" s="5"/>
      <c r="I34" s="5"/>
      <c r="J34" s="12"/>
      <c r="K34" s="5"/>
      <c r="L34" s="1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2" t="s">
        <v>60</v>
      </c>
      <c r="C37" s="15">
        <f>AVERAGE(C2:C29)</f>
        <v>0.05882352941</v>
      </c>
      <c r="D37" s="16">
        <f t="shared" ref="D37:R37" si="1">AVERAGE(D2:D35)</f>
        <v>7819.6875</v>
      </c>
      <c r="E37" s="16">
        <f t="shared" si="1"/>
        <v>6457.875</v>
      </c>
      <c r="F37" s="16">
        <f t="shared" si="1"/>
        <v>7385.705882</v>
      </c>
      <c r="G37" s="16">
        <f t="shared" si="1"/>
        <v>29755.83333</v>
      </c>
      <c r="H37" s="16">
        <f t="shared" si="1"/>
        <v>22017.66667</v>
      </c>
      <c r="I37" s="16">
        <f t="shared" si="1"/>
        <v>26608.33333</v>
      </c>
      <c r="J37" s="16">
        <f t="shared" si="1"/>
        <v>5088.071429</v>
      </c>
      <c r="K37" s="16">
        <f t="shared" si="1"/>
        <v>4071.071429</v>
      </c>
      <c r="L37" s="16">
        <f t="shared" si="1"/>
        <v>4789.642857</v>
      </c>
      <c r="M37" s="16">
        <f t="shared" si="1"/>
        <v>138062.5</v>
      </c>
      <c r="N37" s="16">
        <f t="shared" si="1"/>
        <v>76406.25</v>
      </c>
      <c r="O37" s="16">
        <f t="shared" si="1"/>
        <v>111441.1765</v>
      </c>
      <c r="P37" s="16">
        <f t="shared" si="1"/>
        <v>4648.666667</v>
      </c>
      <c r="Q37" s="16">
        <f t="shared" si="1"/>
        <v>2462.083333</v>
      </c>
      <c r="R37" s="16">
        <f t="shared" si="1"/>
        <v>3535</v>
      </c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2" t="s">
        <v>61</v>
      </c>
      <c r="C38" s="6">
        <f>MEDIAN(C2:C29)</f>
        <v>0</v>
      </c>
      <c r="D38" s="16">
        <f t="shared" ref="D38:R38" si="2">MEDIAN(D2:D35)</f>
        <v>7800</v>
      </c>
      <c r="E38" s="16">
        <f t="shared" si="2"/>
        <v>6510</v>
      </c>
      <c r="F38" s="16">
        <f t="shared" si="2"/>
        <v>7450</v>
      </c>
      <c r="G38" s="16">
        <f t="shared" si="2"/>
        <v>29800</v>
      </c>
      <c r="H38" s="16">
        <f t="shared" si="2"/>
        <v>22173.5</v>
      </c>
      <c r="I38" s="16">
        <f t="shared" si="2"/>
        <v>26750</v>
      </c>
      <c r="J38" s="16">
        <f t="shared" si="2"/>
        <v>4912.5</v>
      </c>
      <c r="K38" s="16">
        <f t="shared" si="2"/>
        <v>4077.5</v>
      </c>
      <c r="L38" s="16">
        <f t="shared" si="2"/>
        <v>4767.5</v>
      </c>
      <c r="M38" s="16">
        <f t="shared" si="2"/>
        <v>130500</v>
      </c>
      <c r="N38" s="16">
        <f t="shared" si="2"/>
        <v>80500</v>
      </c>
      <c r="O38" s="16">
        <f t="shared" si="2"/>
        <v>111000</v>
      </c>
      <c r="P38" s="16">
        <f t="shared" si="2"/>
        <v>4150</v>
      </c>
      <c r="Q38" s="16">
        <f t="shared" si="2"/>
        <v>2375</v>
      </c>
      <c r="R38" s="16">
        <f t="shared" si="2"/>
        <v>3400</v>
      </c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2" t="s">
        <v>62</v>
      </c>
      <c r="C39" s="6">
        <v>0.0</v>
      </c>
      <c r="D39" s="16">
        <f t="shared" ref="D39:R39" si="3">MIN(D2:D35)</f>
        <v>7250</v>
      </c>
      <c r="E39" s="16">
        <f t="shared" si="3"/>
        <v>5500</v>
      </c>
      <c r="F39" s="16">
        <f t="shared" si="3"/>
        <v>6000</v>
      </c>
      <c r="G39" s="16">
        <f t="shared" si="3"/>
        <v>26500</v>
      </c>
      <c r="H39" s="16">
        <f t="shared" si="3"/>
        <v>18000</v>
      </c>
      <c r="I39" s="16">
        <f t="shared" si="3"/>
        <v>20000</v>
      </c>
      <c r="J39" s="16">
        <f t="shared" si="3"/>
        <v>4400</v>
      </c>
      <c r="K39" s="16">
        <f t="shared" si="3"/>
        <v>3300</v>
      </c>
      <c r="L39" s="16">
        <f t="shared" si="3"/>
        <v>3700</v>
      </c>
      <c r="M39" s="16">
        <f t="shared" si="3"/>
        <v>98000</v>
      </c>
      <c r="N39" s="16">
        <f t="shared" si="3"/>
        <v>50000</v>
      </c>
      <c r="O39" s="16">
        <f t="shared" si="3"/>
        <v>65000</v>
      </c>
      <c r="P39" s="16">
        <f t="shared" si="3"/>
        <v>3264</v>
      </c>
      <c r="Q39" s="16">
        <f t="shared" si="3"/>
        <v>2000</v>
      </c>
      <c r="R39" s="16">
        <f t="shared" si="3"/>
        <v>2200</v>
      </c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2" t="s">
        <v>63</v>
      </c>
      <c r="C40" s="6">
        <v>1.0</v>
      </c>
      <c r="D40" s="16">
        <f t="shared" ref="D40:R40" si="4">MAX(D2:D35)</f>
        <v>8440</v>
      </c>
      <c r="E40" s="16">
        <f t="shared" si="4"/>
        <v>6831</v>
      </c>
      <c r="F40" s="16">
        <f t="shared" si="4"/>
        <v>8180</v>
      </c>
      <c r="G40" s="16">
        <f t="shared" si="4"/>
        <v>33000</v>
      </c>
      <c r="H40" s="16">
        <f t="shared" si="4"/>
        <v>23845</v>
      </c>
      <c r="I40" s="16">
        <f t="shared" si="4"/>
        <v>29250</v>
      </c>
      <c r="J40" s="16">
        <f t="shared" si="4"/>
        <v>7100</v>
      </c>
      <c r="K40" s="16">
        <f t="shared" si="4"/>
        <v>4700</v>
      </c>
      <c r="L40" s="16">
        <f t="shared" si="4"/>
        <v>6600</v>
      </c>
      <c r="M40" s="16">
        <f t="shared" si="4"/>
        <v>188000</v>
      </c>
      <c r="N40" s="16">
        <f t="shared" si="4"/>
        <v>89000</v>
      </c>
      <c r="O40" s="16">
        <f t="shared" si="4"/>
        <v>168000</v>
      </c>
      <c r="P40" s="16">
        <f t="shared" si="4"/>
        <v>6900</v>
      </c>
      <c r="Q40" s="16">
        <f t="shared" si="4"/>
        <v>2970</v>
      </c>
      <c r="R40" s="16">
        <f t="shared" si="4"/>
        <v>5420</v>
      </c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</cols>
  <sheetData>
    <row r="1">
      <c r="A1" s="5" t="s">
        <v>64</v>
      </c>
      <c r="B1" s="5" t="s">
        <v>65</v>
      </c>
      <c r="C1" s="5" t="s">
        <v>66</v>
      </c>
      <c r="D1" s="5" t="s">
        <v>67</v>
      </c>
    </row>
    <row r="2">
      <c r="A2" s="5" t="s">
        <v>68</v>
      </c>
      <c r="B2" s="5" t="s">
        <v>69</v>
      </c>
      <c r="C2" s="5" t="s">
        <v>70</v>
      </c>
      <c r="D2" s="5"/>
    </row>
    <row r="3">
      <c r="A3" s="5"/>
      <c r="B3" s="5" t="s">
        <v>71</v>
      </c>
      <c r="C3" s="5" t="s">
        <v>70</v>
      </c>
      <c r="D3" s="5"/>
    </row>
    <row r="4">
      <c r="A4" s="5"/>
      <c r="B4" s="5" t="s">
        <v>72</v>
      </c>
      <c r="C4" s="5" t="s">
        <v>70</v>
      </c>
      <c r="D4" s="5"/>
    </row>
    <row r="5">
      <c r="A5" s="5" t="s">
        <v>73</v>
      </c>
      <c r="B5" s="5" t="s">
        <v>74</v>
      </c>
      <c r="C5" s="5" t="s">
        <v>70</v>
      </c>
      <c r="D5" s="5"/>
    </row>
    <row r="6">
      <c r="A6" s="5" t="s">
        <v>75</v>
      </c>
      <c r="B6" s="5" t="s">
        <v>76</v>
      </c>
      <c r="C6" s="5" t="s">
        <v>70</v>
      </c>
      <c r="D6" s="5"/>
    </row>
    <row r="7">
      <c r="A7" s="5"/>
      <c r="B7" s="5" t="s">
        <v>77</v>
      </c>
      <c r="C7" s="5" t="s">
        <v>70</v>
      </c>
      <c r="D7" s="5"/>
    </row>
    <row r="8">
      <c r="A8" s="5"/>
      <c r="B8" s="5" t="s">
        <v>78</v>
      </c>
      <c r="C8" s="5" t="s">
        <v>70</v>
      </c>
      <c r="D8" s="5"/>
    </row>
    <row r="9">
      <c r="A9" s="5" t="s">
        <v>79</v>
      </c>
      <c r="B9" s="5" t="s">
        <v>80</v>
      </c>
      <c r="C9" s="5" t="s">
        <v>70</v>
      </c>
      <c r="D9" s="5"/>
    </row>
    <row r="10">
      <c r="A10" s="5"/>
      <c r="B10" s="5" t="s">
        <v>81</v>
      </c>
      <c r="C10" s="5" t="s">
        <v>70</v>
      </c>
      <c r="D10" s="5"/>
    </row>
    <row r="11">
      <c r="A11" s="5"/>
      <c r="B11" s="5" t="s">
        <v>82</v>
      </c>
      <c r="C11" s="5" t="s">
        <v>70</v>
      </c>
      <c r="D11" s="5"/>
    </row>
    <row r="12">
      <c r="A12" s="5"/>
      <c r="B12" s="5" t="s">
        <v>83</v>
      </c>
      <c r="C12" s="5" t="s">
        <v>70</v>
      </c>
      <c r="D12" s="5"/>
    </row>
    <row r="13">
      <c r="A13" s="5"/>
      <c r="B13" s="5" t="s">
        <v>84</v>
      </c>
      <c r="C13" s="5" t="s">
        <v>70</v>
      </c>
      <c r="D13" s="5"/>
    </row>
    <row r="14">
      <c r="A14" s="5" t="s">
        <v>85</v>
      </c>
      <c r="B14" s="5" t="s">
        <v>86</v>
      </c>
      <c r="C14" s="5" t="s">
        <v>70</v>
      </c>
      <c r="D14" s="5"/>
    </row>
    <row r="15">
      <c r="A15" s="5"/>
      <c r="B15" s="5" t="s">
        <v>87</v>
      </c>
      <c r="C15" s="5" t="s">
        <v>70</v>
      </c>
      <c r="D15" s="5"/>
    </row>
    <row r="16">
      <c r="A16" s="5"/>
      <c r="B16" s="5" t="s">
        <v>88</v>
      </c>
      <c r="C16" s="5" t="s">
        <v>70</v>
      </c>
      <c r="D16" s="5"/>
    </row>
    <row r="17">
      <c r="A17" s="5"/>
      <c r="B17" s="5" t="s">
        <v>89</v>
      </c>
      <c r="C17" s="5" t="s">
        <v>70</v>
      </c>
      <c r="D17" s="5"/>
    </row>
    <row r="18">
      <c r="A18" s="5"/>
      <c r="B18" s="5" t="s">
        <v>90</v>
      </c>
      <c r="C18" s="5" t="s">
        <v>70</v>
      </c>
      <c r="D18" s="5"/>
    </row>
    <row r="19">
      <c r="A19" s="5" t="s">
        <v>91</v>
      </c>
      <c r="B19" s="5" t="s">
        <v>92</v>
      </c>
      <c r="C19" s="5" t="s">
        <v>70</v>
      </c>
      <c r="D19" s="5"/>
    </row>
    <row r="20">
      <c r="A20" s="5" t="s">
        <v>93</v>
      </c>
      <c r="B20" s="5" t="s">
        <v>94</v>
      </c>
      <c r="C20" s="5" t="s">
        <v>70</v>
      </c>
      <c r="D20" s="5"/>
    </row>
    <row r="21">
      <c r="A21" s="5"/>
      <c r="B21" s="5" t="s">
        <v>95</v>
      </c>
      <c r="C21" s="5" t="s">
        <v>70</v>
      </c>
      <c r="D21" s="5"/>
    </row>
    <row r="22">
      <c r="A22" s="5"/>
      <c r="B22" s="5" t="s">
        <v>96</v>
      </c>
      <c r="C22" s="5" t="s">
        <v>70</v>
      </c>
      <c r="D22" s="5"/>
    </row>
    <row r="23">
      <c r="A23" s="5"/>
      <c r="B23" s="5" t="s">
        <v>97</v>
      </c>
      <c r="C23" s="5" t="s">
        <v>70</v>
      </c>
      <c r="D23" s="5"/>
    </row>
    <row r="24">
      <c r="A24" s="5"/>
      <c r="B24" s="5" t="s">
        <v>98</v>
      </c>
      <c r="C24" s="5" t="s">
        <v>70</v>
      </c>
      <c r="D24" s="5"/>
    </row>
    <row r="25">
      <c r="A25" s="5"/>
      <c r="B25" s="5" t="s">
        <v>99</v>
      </c>
      <c r="C25" s="5" t="s">
        <v>70</v>
      </c>
      <c r="D25" s="5"/>
    </row>
    <row r="26">
      <c r="A26" s="5" t="s">
        <v>100</v>
      </c>
      <c r="B26" s="5" t="s">
        <v>101</v>
      </c>
      <c r="C26" s="5" t="s">
        <v>70</v>
      </c>
      <c r="D26" s="5"/>
    </row>
    <row r="27">
      <c r="A27" s="5"/>
      <c r="B27" s="5" t="s">
        <v>102</v>
      </c>
      <c r="C27" s="5" t="s">
        <v>70</v>
      </c>
      <c r="D27" s="5"/>
    </row>
    <row r="28">
      <c r="A28" s="5" t="s">
        <v>103</v>
      </c>
      <c r="B28" s="5" t="s">
        <v>104</v>
      </c>
      <c r="C28" s="5" t="s">
        <v>70</v>
      </c>
      <c r="D28" s="5"/>
    </row>
    <row r="29">
      <c r="A29" s="5"/>
      <c r="B29" s="5" t="s">
        <v>105</v>
      </c>
      <c r="C29" s="5" t="s">
        <v>70</v>
      </c>
      <c r="D29" s="5"/>
    </row>
    <row r="30">
      <c r="A30" s="5"/>
      <c r="B30" s="5" t="s">
        <v>106</v>
      </c>
      <c r="C30" s="5" t="s">
        <v>70</v>
      </c>
      <c r="D30" s="5"/>
    </row>
    <row r="31">
      <c r="A31" s="5"/>
      <c r="B31" s="5" t="s">
        <v>107</v>
      </c>
      <c r="C31" s="5" t="s">
        <v>70</v>
      </c>
      <c r="D31" s="5"/>
    </row>
    <row r="32">
      <c r="A32" s="5"/>
      <c r="B32" s="5" t="s">
        <v>108</v>
      </c>
      <c r="C32" s="5" t="s">
        <v>70</v>
      </c>
      <c r="D32" s="5"/>
    </row>
    <row r="33">
      <c r="A33" s="5" t="s">
        <v>109</v>
      </c>
      <c r="B33" s="5" t="s">
        <v>110</v>
      </c>
      <c r="C33" s="5" t="s">
        <v>70</v>
      </c>
      <c r="D33" s="5"/>
    </row>
    <row r="34">
      <c r="A34" s="5"/>
      <c r="B34" s="5" t="s">
        <v>111</v>
      </c>
      <c r="C34" s="5" t="s">
        <v>70</v>
      </c>
      <c r="D34" s="5"/>
    </row>
    <row r="35">
      <c r="A35" s="5"/>
      <c r="B35" s="5" t="s">
        <v>112</v>
      </c>
      <c r="C35" s="5" t="s">
        <v>70</v>
      </c>
      <c r="D35" s="5"/>
    </row>
    <row r="36">
      <c r="A36" s="5" t="s">
        <v>113</v>
      </c>
      <c r="B36" s="5" t="s">
        <v>114</v>
      </c>
      <c r="C36" s="5" t="s">
        <v>70</v>
      </c>
      <c r="D36" s="5"/>
    </row>
    <row r="37">
      <c r="A37" s="5" t="s">
        <v>115</v>
      </c>
      <c r="B37" s="5" t="s">
        <v>116</v>
      </c>
      <c r="C37" s="5" t="s">
        <v>70</v>
      </c>
      <c r="D37" s="5"/>
    </row>
    <row r="38">
      <c r="A38" s="5"/>
      <c r="B38" s="5" t="s">
        <v>117</v>
      </c>
      <c r="C38" s="5" t="s">
        <v>70</v>
      </c>
      <c r="D38" s="5"/>
    </row>
    <row r="39">
      <c r="A39" s="5"/>
      <c r="B39" s="5" t="s">
        <v>118</v>
      </c>
      <c r="C39" s="5" t="s">
        <v>70</v>
      </c>
      <c r="D39" s="5"/>
    </row>
    <row r="40">
      <c r="A40" s="5"/>
      <c r="B40" s="5" t="s">
        <v>119</v>
      </c>
      <c r="C40" s="5" t="s">
        <v>70</v>
      </c>
      <c r="D40" s="5"/>
    </row>
    <row r="41">
      <c r="A41" s="5"/>
      <c r="B41" s="5" t="s">
        <v>120</v>
      </c>
      <c r="C41" s="5" t="s">
        <v>70</v>
      </c>
      <c r="D41" s="5"/>
    </row>
    <row r="42">
      <c r="A42" s="5" t="s">
        <v>121</v>
      </c>
      <c r="B42" s="5" t="s">
        <v>122</v>
      </c>
      <c r="C42" s="5" t="s">
        <v>70</v>
      </c>
      <c r="D42" s="5"/>
    </row>
    <row r="43">
      <c r="A43" s="5"/>
      <c r="B43" s="5" t="s">
        <v>123</v>
      </c>
      <c r="C43" s="5" t="s">
        <v>70</v>
      </c>
      <c r="D43" s="5"/>
    </row>
    <row r="44">
      <c r="A44" s="5"/>
      <c r="B44" s="5" t="s">
        <v>124</v>
      </c>
      <c r="C44" s="5" t="s">
        <v>70</v>
      </c>
      <c r="D44" s="5"/>
    </row>
    <row r="45">
      <c r="A45" s="5"/>
      <c r="B45" s="5" t="s">
        <v>125</v>
      </c>
      <c r="C45" s="5" t="s">
        <v>70</v>
      </c>
      <c r="D45" s="5"/>
    </row>
    <row r="46">
      <c r="A46" s="5"/>
      <c r="B46" s="5" t="s">
        <v>126</v>
      </c>
      <c r="C46" s="5" t="s">
        <v>70</v>
      </c>
      <c r="D46" s="5"/>
    </row>
    <row r="47">
      <c r="A47" s="5"/>
      <c r="B47" s="5" t="s">
        <v>127</v>
      </c>
      <c r="C47" s="5" t="s">
        <v>70</v>
      </c>
      <c r="D47" s="5"/>
    </row>
    <row r="48">
      <c r="A48" s="5" t="s">
        <v>128</v>
      </c>
      <c r="B48" s="5" t="s">
        <v>129</v>
      </c>
      <c r="C48" s="5" t="s">
        <v>70</v>
      </c>
      <c r="D48" s="5"/>
    </row>
    <row r="49">
      <c r="A49" s="5"/>
      <c r="B49" s="5" t="s">
        <v>130</v>
      </c>
      <c r="C49" s="5" t="s">
        <v>70</v>
      </c>
      <c r="D49" s="5"/>
    </row>
    <row r="50">
      <c r="A50" s="5"/>
      <c r="B50" s="5" t="s">
        <v>131</v>
      </c>
      <c r="C50" s="5" t="s">
        <v>70</v>
      </c>
      <c r="D50" s="5"/>
    </row>
    <row r="51">
      <c r="A51" s="5"/>
      <c r="B51" s="5" t="s">
        <v>132</v>
      </c>
      <c r="C51" s="5" t="s">
        <v>70</v>
      </c>
      <c r="D51" s="5"/>
    </row>
    <row r="52">
      <c r="A52" s="5" t="s">
        <v>133</v>
      </c>
      <c r="B52" s="5" t="s">
        <v>134</v>
      </c>
      <c r="C52" s="5" t="s">
        <v>70</v>
      </c>
      <c r="D52" s="5"/>
    </row>
    <row r="53">
      <c r="A53" s="5" t="s">
        <v>34</v>
      </c>
      <c r="B53" s="5" t="s">
        <v>135</v>
      </c>
      <c r="C53" s="5" t="s">
        <v>70</v>
      </c>
      <c r="D53" s="5"/>
    </row>
    <row r="54">
      <c r="A54" s="5"/>
      <c r="B54" s="5" t="s">
        <v>136</v>
      </c>
      <c r="C54" s="5" t="s">
        <v>70</v>
      </c>
      <c r="D54" s="5"/>
    </row>
    <row r="55">
      <c r="A55" s="5"/>
      <c r="B55" s="5" t="s">
        <v>137</v>
      </c>
      <c r="C55" s="5" t="s">
        <v>70</v>
      </c>
      <c r="D55" s="5"/>
    </row>
    <row r="56">
      <c r="A56" s="1" t="s">
        <v>46</v>
      </c>
      <c r="B56" s="17" t="s">
        <v>138</v>
      </c>
      <c r="C56" s="5" t="s">
        <v>70</v>
      </c>
      <c r="D56" s="5"/>
    </row>
    <row r="57">
      <c r="A57" s="5"/>
      <c r="B57" s="1" t="s">
        <v>139</v>
      </c>
      <c r="C57" s="5" t="s">
        <v>70</v>
      </c>
      <c r="D57" s="5"/>
    </row>
    <row r="58">
      <c r="A58" s="5"/>
      <c r="B58" s="1" t="s">
        <v>140</v>
      </c>
      <c r="C58" s="5" t="s">
        <v>70</v>
      </c>
      <c r="D58" s="5"/>
    </row>
    <row r="59">
      <c r="A59" s="1" t="s">
        <v>51</v>
      </c>
      <c r="B59" s="1" t="s">
        <v>141</v>
      </c>
      <c r="C59" s="5" t="s">
        <v>70</v>
      </c>
      <c r="D59" s="5"/>
    </row>
    <row r="60">
      <c r="A60" s="5"/>
      <c r="B60" s="1" t="s">
        <v>142</v>
      </c>
      <c r="C60" s="5" t="s">
        <v>70</v>
      </c>
      <c r="D60" s="5"/>
    </row>
    <row r="61">
      <c r="A61" s="5"/>
      <c r="B61" s="1" t="s">
        <v>143</v>
      </c>
      <c r="C61" s="5" t="s">
        <v>70</v>
      </c>
      <c r="D61" s="5"/>
    </row>
    <row r="62">
      <c r="A62" s="17" t="s">
        <v>55</v>
      </c>
      <c r="B62" s="17" t="s">
        <v>84</v>
      </c>
      <c r="C62" s="5" t="s">
        <v>70</v>
      </c>
    </row>
    <row r="63">
      <c r="B63" s="17" t="s">
        <v>144</v>
      </c>
      <c r="C63" s="5" t="s">
        <v>70</v>
      </c>
    </row>
  </sheetData>
  <dataValidations>
    <dataValidation type="list" allowBlank="1" showErrorMessage="1" sqref="C2:C63">
      <formula1>"yes,no,n/a"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0.63"/>
    <col customWidth="1" min="3" max="3" width="22.75"/>
    <col customWidth="1" min="4" max="5" width="8.63"/>
    <col customWidth="1" min="6" max="6" width="9.38"/>
    <col customWidth="1" min="7" max="7" width="12.38"/>
    <col customWidth="1" min="8" max="8" width="12.0"/>
    <col customWidth="1" min="9" max="9" width="13.25"/>
    <col customWidth="1" min="10" max="10" width="11.13"/>
    <col customWidth="1" min="11" max="11" width="10.13"/>
    <col customWidth="1" min="12" max="12" width="12.75"/>
    <col customWidth="1" min="13" max="13" width="10.88"/>
    <col customWidth="1" min="14" max="14" width="10.75"/>
    <col customWidth="1" min="15" max="15" width="12.88"/>
    <col customWidth="1" min="16" max="16" width="12.38"/>
    <col customWidth="1" min="17" max="17" width="10.63"/>
    <col customWidth="1" min="18" max="18" width="10.38"/>
  </cols>
  <sheetData>
    <row r="1">
      <c r="B1" s="18" t="s">
        <v>1</v>
      </c>
      <c r="C1" s="19" t="s">
        <v>145</v>
      </c>
      <c r="D1" s="20" t="s">
        <v>3</v>
      </c>
      <c r="E1" s="20" t="s">
        <v>4</v>
      </c>
      <c r="F1" s="20" t="s">
        <v>5</v>
      </c>
      <c r="G1" s="20" t="s">
        <v>146</v>
      </c>
      <c r="H1" s="20" t="s">
        <v>147</v>
      </c>
      <c r="I1" s="20" t="s">
        <v>148</v>
      </c>
      <c r="J1" s="20" t="s">
        <v>12</v>
      </c>
      <c r="K1" s="20" t="s">
        <v>13</v>
      </c>
      <c r="L1" s="20" t="s">
        <v>14</v>
      </c>
      <c r="M1" s="20" t="s">
        <v>15</v>
      </c>
      <c r="N1" s="20" t="s">
        <v>16</v>
      </c>
      <c r="O1" s="20" t="s">
        <v>17</v>
      </c>
      <c r="P1" s="20" t="s">
        <v>18</v>
      </c>
      <c r="Q1" s="20" t="s">
        <v>19</v>
      </c>
      <c r="R1" s="20" t="s">
        <v>20</v>
      </c>
      <c r="S1" s="21" t="s">
        <v>21</v>
      </c>
      <c r="T1" s="21" t="s">
        <v>22</v>
      </c>
      <c r="U1" s="21" t="s">
        <v>23</v>
      </c>
    </row>
    <row r="2">
      <c r="B2" s="22" t="s">
        <v>149</v>
      </c>
      <c r="C2" s="23">
        <v>0.0</v>
      </c>
      <c r="D2" s="24">
        <v>6865.0</v>
      </c>
      <c r="E2" s="24">
        <v>5500.0</v>
      </c>
      <c r="F2" s="25">
        <v>6600.0</v>
      </c>
      <c r="G2" s="26">
        <v>22000.0</v>
      </c>
      <c r="H2" s="24">
        <v>18500.0</v>
      </c>
      <c r="I2" s="24">
        <v>20500.0</v>
      </c>
      <c r="J2" s="24">
        <v>165000.0</v>
      </c>
      <c r="K2" s="24">
        <v>75000.0</v>
      </c>
      <c r="L2" s="24">
        <v>140000.0</v>
      </c>
      <c r="M2" s="24">
        <v>8800.0</v>
      </c>
      <c r="N2" s="24">
        <v>3300.0</v>
      </c>
      <c r="O2" s="26">
        <v>7400.0</v>
      </c>
      <c r="P2" s="27">
        <v>400.0</v>
      </c>
      <c r="Q2" s="27">
        <v>160.0</v>
      </c>
      <c r="R2" s="28">
        <v>330.0</v>
      </c>
    </row>
    <row r="3">
      <c r="A3" s="29"/>
      <c r="B3" s="22" t="s">
        <v>34</v>
      </c>
      <c r="C3" s="23">
        <v>0.0</v>
      </c>
      <c r="D3" s="24">
        <v>7100.0</v>
      </c>
      <c r="E3" s="24">
        <v>5750.0</v>
      </c>
      <c r="F3" s="25">
        <v>6942.0</v>
      </c>
      <c r="G3" s="24">
        <v>25200.0</v>
      </c>
      <c r="H3" s="24">
        <v>19500.0</v>
      </c>
      <c r="I3" s="24">
        <v>24000.0</v>
      </c>
      <c r="J3" s="24">
        <v>125000.0</v>
      </c>
      <c r="K3" s="24">
        <v>72000.0</v>
      </c>
      <c r="L3" s="24">
        <v>95000.0</v>
      </c>
      <c r="M3" s="24">
        <v>3700.0</v>
      </c>
      <c r="N3" s="24">
        <v>2700.0</v>
      </c>
      <c r="O3" s="26">
        <v>3000.0</v>
      </c>
      <c r="P3" s="27">
        <v>270.0</v>
      </c>
      <c r="Q3" s="27">
        <v>180.0</v>
      </c>
      <c r="R3" s="28">
        <v>250.0</v>
      </c>
      <c r="S3" s="29"/>
      <c r="T3" s="29"/>
      <c r="U3" s="29"/>
      <c r="V3" s="29"/>
      <c r="W3" s="29"/>
    </row>
    <row r="4">
      <c r="B4" s="22" t="s">
        <v>68</v>
      </c>
      <c r="C4" s="23">
        <v>0.0</v>
      </c>
      <c r="D4" s="24">
        <v>7350.0</v>
      </c>
      <c r="E4" s="24">
        <v>5950.0</v>
      </c>
      <c r="F4" s="25">
        <v>7240.0</v>
      </c>
      <c r="G4" s="24">
        <v>25300.0</v>
      </c>
      <c r="H4" s="24">
        <v>21200.0</v>
      </c>
      <c r="I4" s="24">
        <v>24521.0</v>
      </c>
      <c r="J4" s="24">
        <v>225000.0</v>
      </c>
      <c r="K4" s="24">
        <v>82000.0</v>
      </c>
      <c r="L4" s="24">
        <v>185000.0</v>
      </c>
      <c r="M4" s="24">
        <v>11400.0</v>
      </c>
      <c r="N4" s="24">
        <v>3100.0</v>
      </c>
      <c r="O4" s="26">
        <v>8100.0</v>
      </c>
      <c r="P4" s="27">
        <v>700.0</v>
      </c>
      <c r="Q4" s="27">
        <v>175.0</v>
      </c>
      <c r="R4" s="28">
        <v>520.0</v>
      </c>
    </row>
    <row r="5">
      <c r="B5" s="22" t="s">
        <v>150</v>
      </c>
      <c r="C5" s="23">
        <v>0.0</v>
      </c>
      <c r="D5" s="24">
        <v>6350.0</v>
      </c>
      <c r="E5" s="24">
        <v>5350.0</v>
      </c>
      <c r="F5" s="25">
        <v>6100.0</v>
      </c>
      <c r="G5" s="24">
        <v>23000.0</v>
      </c>
      <c r="H5" s="24">
        <v>18500.0</v>
      </c>
      <c r="I5" s="24">
        <v>21000.0</v>
      </c>
      <c r="J5" s="24">
        <v>109500.0</v>
      </c>
      <c r="K5" s="24">
        <v>58000.0</v>
      </c>
      <c r="L5" s="24">
        <v>91500.0</v>
      </c>
      <c r="M5" s="24">
        <v>4850.0</v>
      </c>
      <c r="N5" s="24">
        <v>2000.0</v>
      </c>
      <c r="O5" s="26">
        <v>4600.0</v>
      </c>
      <c r="P5" s="27">
        <v>255.0</v>
      </c>
      <c r="Q5" s="27">
        <v>90.0</v>
      </c>
      <c r="R5" s="28">
        <v>190.0</v>
      </c>
    </row>
    <row r="6">
      <c r="B6" s="22" t="s">
        <v>151</v>
      </c>
      <c r="C6" s="30">
        <v>0.0</v>
      </c>
      <c r="D6" s="7">
        <v>6800.0</v>
      </c>
      <c r="E6" s="7">
        <v>5300.0</v>
      </c>
      <c r="F6" s="8">
        <v>6700.0</v>
      </c>
      <c r="G6" s="7">
        <v>22500.0</v>
      </c>
      <c r="H6" s="7">
        <v>18600.0</v>
      </c>
      <c r="I6" s="7">
        <v>22000.0</v>
      </c>
      <c r="J6" s="7">
        <v>145000.0</v>
      </c>
      <c r="K6" s="7">
        <v>89000.0</v>
      </c>
      <c r="L6" s="7">
        <v>140000.0</v>
      </c>
      <c r="M6" s="7">
        <v>5900.0</v>
      </c>
      <c r="N6" s="7">
        <v>3200.0</v>
      </c>
      <c r="O6" s="7">
        <v>5500.0</v>
      </c>
      <c r="P6" s="9">
        <v>410.0</v>
      </c>
      <c r="Q6" s="9">
        <v>174.0</v>
      </c>
      <c r="R6" s="9">
        <v>350.0</v>
      </c>
    </row>
    <row r="7">
      <c r="B7" s="17" t="s">
        <v>73</v>
      </c>
      <c r="C7" s="31"/>
      <c r="D7" s="32"/>
      <c r="E7" s="32"/>
      <c r="F7" s="33"/>
      <c r="G7" s="32"/>
      <c r="H7" s="32"/>
      <c r="I7" s="32"/>
      <c r="J7" s="26">
        <v>150000.0</v>
      </c>
      <c r="K7" s="26">
        <v>85000.0</v>
      </c>
      <c r="L7" s="26">
        <v>125000.0</v>
      </c>
      <c r="M7" s="26">
        <v>5000.0</v>
      </c>
      <c r="N7" s="26">
        <v>2800.0</v>
      </c>
      <c r="O7" s="26">
        <v>4000.0</v>
      </c>
      <c r="P7" s="34"/>
      <c r="Q7" s="34"/>
      <c r="R7" s="34"/>
    </row>
    <row r="8">
      <c r="B8" s="22" t="s">
        <v>152</v>
      </c>
      <c r="C8" s="23">
        <v>0.0</v>
      </c>
      <c r="D8" s="24">
        <v>6400.0</v>
      </c>
      <c r="E8" s="24">
        <v>5400.0</v>
      </c>
      <c r="F8" s="25">
        <v>6300.0</v>
      </c>
      <c r="G8" s="24">
        <v>23400.0</v>
      </c>
      <c r="H8" s="24">
        <v>17200.0</v>
      </c>
      <c r="I8" s="24">
        <v>22000.0</v>
      </c>
      <c r="J8" s="24">
        <v>250000.0</v>
      </c>
      <c r="K8" s="24">
        <v>74000.0</v>
      </c>
      <c r="L8" s="24">
        <v>115000.0</v>
      </c>
      <c r="M8" s="24">
        <v>5250.0</v>
      </c>
      <c r="N8" s="24">
        <v>2100.0</v>
      </c>
      <c r="O8" s="26">
        <v>4100.0</v>
      </c>
      <c r="P8" s="27">
        <v>350.0</v>
      </c>
      <c r="Q8" s="27">
        <v>125.0</v>
      </c>
      <c r="R8" s="28">
        <v>285.0</v>
      </c>
    </row>
    <row r="9">
      <c r="B9" s="22" t="s">
        <v>42</v>
      </c>
      <c r="C9" s="23">
        <v>0.0</v>
      </c>
      <c r="D9" s="24">
        <v>6969.0</v>
      </c>
      <c r="E9" s="24">
        <v>5115.0</v>
      </c>
      <c r="F9" s="25">
        <v>5850.0</v>
      </c>
      <c r="G9" s="24">
        <v>21725.0</v>
      </c>
      <c r="H9" s="24">
        <v>18500.0</v>
      </c>
      <c r="I9" s="24">
        <v>19111.0</v>
      </c>
      <c r="J9" s="24">
        <v>344000.0</v>
      </c>
      <c r="K9" s="24">
        <v>88888.0</v>
      </c>
      <c r="L9" s="24">
        <v>108000.0</v>
      </c>
      <c r="M9" s="24">
        <v>3750.0</v>
      </c>
      <c r="N9" s="24">
        <v>1880.0</v>
      </c>
      <c r="O9" s="26">
        <v>2150.0</v>
      </c>
      <c r="P9" s="27">
        <v>420.0</v>
      </c>
      <c r="Q9" s="27">
        <v>115.0</v>
      </c>
      <c r="R9" s="28">
        <v>220.0</v>
      </c>
    </row>
    <row r="10">
      <c r="B10" s="22" t="s">
        <v>53</v>
      </c>
      <c r="C10" s="23">
        <v>0.0</v>
      </c>
      <c r="D10" s="24">
        <v>6996.0</v>
      </c>
      <c r="E10" s="24">
        <v>5050.0</v>
      </c>
      <c r="F10" s="25">
        <v>6500.0</v>
      </c>
      <c r="G10" s="24">
        <v>22000.0</v>
      </c>
      <c r="H10" s="24">
        <v>18500.0</v>
      </c>
      <c r="I10" s="24">
        <v>20500.0</v>
      </c>
      <c r="J10" s="24">
        <v>251000.0</v>
      </c>
      <c r="K10" s="24">
        <v>85000.0</v>
      </c>
      <c r="L10" s="24">
        <v>195000.0</v>
      </c>
      <c r="M10" s="24">
        <v>6500.0</v>
      </c>
      <c r="N10" s="24">
        <v>2750.0</v>
      </c>
      <c r="O10" s="26">
        <v>5900.0</v>
      </c>
      <c r="P10" s="27">
        <v>275.0</v>
      </c>
      <c r="Q10" s="27">
        <v>125.0</v>
      </c>
      <c r="R10" s="28">
        <v>200.0</v>
      </c>
    </row>
    <row r="11">
      <c r="B11" s="22" t="s">
        <v>153</v>
      </c>
      <c r="C11" s="23">
        <v>0.0</v>
      </c>
      <c r="D11" s="24">
        <v>7400.0</v>
      </c>
      <c r="E11" s="24">
        <v>5400.0</v>
      </c>
      <c r="F11" s="25">
        <v>7000.0</v>
      </c>
      <c r="G11" s="24">
        <v>24567.0</v>
      </c>
      <c r="H11" s="24">
        <v>20876.0</v>
      </c>
      <c r="I11" s="24">
        <v>24444.0</v>
      </c>
      <c r="J11" s="24">
        <v>180000.0</v>
      </c>
      <c r="K11" s="24">
        <v>64000.0</v>
      </c>
      <c r="L11" s="24">
        <v>145000.0</v>
      </c>
      <c r="M11" s="24">
        <v>8700.0</v>
      </c>
      <c r="N11" s="24">
        <v>2400.0</v>
      </c>
      <c r="O11" s="26">
        <v>6500.0</v>
      </c>
      <c r="P11" s="27">
        <v>300.0</v>
      </c>
      <c r="Q11" s="27">
        <v>160.0</v>
      </c>
      <c r="R11" s="28">
        <v>180.0</v>
      </c>
    </row>
    <row r="12">
      <c r="B12" s="22" t="s">
        <v>46</v>
      </c>
      <c r="C12" s="23">
        <v>0.0</v>
      </c>
      <c r="D12" s="24">
        <v>6380.0</v>
      </c>
      <c r="E12" s="24">
        <v>5600.0</v>
      </c>
      <c r="F12" s="25">
        <v>6000.0</v>
      </c>
      <c r="G12" s="24">
        <v>23200.0</v>
      </c>
      <c r="H12" s="24">
        <v>18800.0</v>
      </c>
      <c r="I12" s="24">
        <v>21000.0</v>
      </c>
      <c r="J12" s="24">
        <v>150000.0</v>
      </c>
      <c r="K12" s="24">
        <v>71000.0</v>
      </c>
      <c r="L12" s="24">
        <v>94000.0</v>
      </c>
      <c r="M12" s="24">
        <v>3600.0</v>
      </c>
      <c r="N12" s="24">
        <v>2000.0</v>
      </c>
      <c r="O12" s="26">
        <v>2100.0</v>
      </c>
      <c r="P12" s="27">
        <v>550.0</v>
      </c>
      <c r="Q12" s="27">
        <v>160.0</v>
      </c>
      <c r="R12" s="28">
        <v>200.0</v>
      </c>
    </row>
    <row r="13">
      <c r="B13" s="22" t="s">
        <v>154</v>
      </c>
      <c r="C13" s="23">
        <v>0.0</v>
      </c>
      <c r="D13" s="24">
        <v>7099.0</v>
      </c>
      <c r="E13" s="24">
        <v>5751.0</v>
      </c>
      <c r="F13" s="25">
        <v>6699.0</v>
      </c>
      <c r="G13" s="24">
        <v>25333.0</v>
      </c>
      <c r="H13" s="24">
        <v>19420.0</v>
      </c>
      <c r="I13" s="24">
        <v>23999.0</v>
      </c>
      <c r="J13" s="24">
        <v>169690.0</v>
      </c>
      <c r="K13" s="24">
        <v>82100.0</v>
      </c>
      <c r="L13" s="24">
        <v>127000.0</v>
      </c>
      <c r="M13" s="24">
        <v>4200.0</v>
      </c>
      <c r="N13" s="24">
        <v>2405.0</v>
      </c>
      <c r="O13" s="26">
        <v>3003.0</v>
      </c>
      <c r="P13" s="27">
        <v>295.0</v>
      </c>
      <c r="Q13" s="27">
        <v>170.0</v>
      </c>
      <c r="R13" s="28">
        <v>255.0</v>
      </c>
    </row>
    <row r="14">
      <c r="B14" s="22" t="s">
        <v>109</v>
      </c>
      <c r="C14" s="23">
        <v>0.0</v>
      </c>
      <c r="D14" s="24">
        <v>6600.0</v>
      </c>
      <c r="E14" s="24">
        <v>5700.0</v>
      </c>
      <c r="F14" s="25">
        <v>6400.0</v>
      </c>
      <c r="G14" s="24"/>
      <c r="H14" s="24"/>
      <c r="I14" s="24"/>
      <c r="J14" s="24">
        <v>160000.0</v>
      </c>
      <c r="K14" s="24">
        <v>90000.0</v>
      </c>
      <c r="L14" s="24">
        <v>130000.0</v>
      </c>
      <c r="M14" s="24">
        <v>7500.0</v>
      </c>
      <c r="N14" s="24">
        <v>3050.0</v>
      </c>
      <c r="O14" s="26">
        <v>5700.0</v>
      </c>
      <c r="P14" s="27">
        <v>500.0</v>
      </c>
      <c r="Q14" s="27">
        <v>177.0</v>
      </c>
      <c r="R14" s="28">
        <v>300.0</v>
      </c>
      <c r="S14" s="17">
        <v>5.0</v>
      </c>
      <c r="T14" s="17">
        <v>1.0</v>
      </c>
      <c r="U14" s="17">
        <v>1.0</v>
      </c>
    </row>
    <row r="15">
      <c r="B15" s="22" t="s">
        <v>155</v>
      </c>
      <c r="C15" s="23">
        <v>0.0</v>
      </c>
      <c r="D15" s="24">
        <v>7200.0</v>
      </c>
      <c r="E15" s="24">
        <v>6095.0</v>
      </c>
      <c r="F15" s="25">
        <v>6888.0</v>
      </c>
      <c r="G15" s="24"/>
      <c r="H15" s="24"/>
      <c r="I15" s="24"/>
      <c r="J15" s="24"/>
      <c r="K15" s="24"/>
      <c r="L15" s="24"/>
      <c r="M15" s="24"/>
      <c r="N15" s="24"/>
      <c r="O15" s="32"/>
      <c r="P15" s="27"/>
      <c r="Q15" s="27"/>
      <c r="R15" s="34"/>
    </row>
    <row r="16">
      <c r="B16" s="22" t="s">
        <v>156</v>
      </c>
      <c r="C16" s="23"/>
      <c r="D16" s="24">
        <v>7000.0</v>
      </c>
      <c r="E16" s="24">
        <v>5000.0</v>
      </c>
      <c r="F16" s="25">
        <v>6400.0</v>
      </c>
      <c r="G16" s="24">
        <v>24150.0</v>
      </c>
      <c r="H16" s="24">
        <v>18000.0</v>
      </c>
      <c r="I16" s="24">
        <v>22210.0</v>
      </c>
      <c r="J16" s="24">
        <v>145000.0</v>
      </c>
      <c r="K16" s="24">
        <v>80000.0</v>
      </c>
      <c r="L16" s="24">
        <v>128000.0</v>
      </c>
      <c r="M16" s="24">
        <v>4300.0</v>
      </c>
      <c r="N16" s="24">
        <v>2700.0</v>
      </c>
      <c r="O16" s="26">
        <v>3400.0</v>
      </c>
      <c r="P16" s="27">
        <v>350.0</v>
      </c>
      <c r="Q16" s="27">
        <v>150.0</v>
      </c>
      <c r="R16" s="28">
        <v>220.0</v>
      </c>
    </row>
    <row r="17">
      <c r="B17" s="22" t="s">
        <v>157</v>
      </c>
      <c r="C17" s="23">
        <v>0.0</v>
      </c>
      <c r="D17" s="24">
        <v>7150.0</v>
      </c>
      <c r="E17" s="24">
        <v>6000.0</v>
      </c>
      <c r="F17" s="25">
        <v>6800.0</v>
      </c>
      <c r="G17" s="24"/>
      <c r="H17" s="24"/>
      <c r="I17" s="24"/>
      <c r="J17" s="24">
        <v>150000.0</v>
      </c>
      <c r="K17" s="24">
        <v>83000.0</v>
      </c>
      <c r="L17" s="24">
        <v>120000.0</v>
      </c>
      <c r="M17" s="24">
        <v>4900.0</v>
      </c>
      <c r="N17" s="24">
        <v>2900.0</v>
      </c>
      <c r="O17" s="26">
        <v>4000.0</v>
      </c>
      <c r="P17" s="27">
        <v>325.0</v>
      </c>
      <c r="Q17" s="27">
        <v>150.0</v>
      </c>
      <c r="R17" s="28">
        <v>230.0</v>
      </c>
    </row>
    <row r="18">
      <c r="B18" s="22" t="s">
        <v>158</v>
      </c>
      <c r="C18" s="23">
        <v>0.0</v>
      </c>
      <c r="D18" s="24">
        <v>8469.0</v>
      </c>
      <c r="E18" s="24">
        <v>5669.0</v>
      </c>
      <c r="F18" s="25">
        <v>8369.0</v>
      </c>
      <c r="G18" s="26">
        <v>26969.0</v>
      </c>
      <c r="H18" s="24">
        <v>20069.0</v>
      </c>
      <c r="I18" s="24">
        <v>26069.0</v>
      </c>
      <c r="J18" s="24">
        <v>469000.0</v>
      </c>
      <c r="K18" s="24">
        <v>91069.0</v>
      </c>
      <c r="L18" s="24">
        <v>437069.0</v>
      </c>
      <c r="M18" s="24">
        <v>3669.0</v>
      </c>
      <c r="N18" s="24">
        <v>2400.0</v>
      </c>
      <c r="O18" s="26">
        <v>2569.0</v>
      </c>
      <c r="P18" s="27">
        <v>369.0</v>
      </c>
      <c r="Q18" s="27">
        <v>69.0</v>
      </c>
      <c r="R18" s="28">
        <v>120.0</v>
      </c>
      <c r="S18" s="17">
        <v>69.0</v>
      </c>
      <c r="T18" s="17">
        <v>0.9</v>
      </c>
      <c r="U18" s="17">
        <v>37.0</v>
      </c>
    </row>
    <row r="19">
      <c r="B19" s="22" t="s">
        <v>159</v>
      </c>
      <c r="C19" s="23">
        <v>0.0</v>
      </c>
      <c r="D19" s="24">
        <v>6800.0</v>
      </c>
      <c r="E19" s="24">
        <v>5600.0</v>
      </c>
      <c r="F19" s="25">
        <v>6450.0</v>
      </c>
      <c r="G19" s="24">
        <v>23800.0</v>
      </c>
      <c r="H19" s="24">
        <v>20000.0</v>
      </c>
      <c r="I19" s="24">
        <v>23000.0</v>
      </c>
      <c r="J19" s="24">
        <v>169000.0</v>
      </c>
      <c r="K19" s="24">
        <v>87999.0</v>
      </c>
      <c r="L19" s="24">
        <v>145000.0</v>
      </c>
      <c r="M19" s="24">
        <v>7000.0</v>
      </c>
      <c r="N19" s="24">
        <v>2999.0</v>
      </c>
      <c r="O19" s="26">
        <v>5800.0</v>
      </c>
      <c r="P19" s="27">
        <v>340.0</v>
      </c>
      <c r="Q19" s="27">
        <v>168.0</v>
      </c>
      <c r="R19" s="28">
        <v>290.0</v>
      </c>
    </row>
    <row r="20">
      <c r="B20" s="22" t="s">
        <v>160</v>
      </c>
      <c r="C20" s="23">
        <v>0.0</v>
      </c>
      <c r="D20" s="24">
        <v>6400.0</v>
      </c>
      <c r="E20" s="24">
        <v>5500.0</v>
      </c>
      <c r="F20" s="25">
        <v>6250.0</v>
      </c>
      <c r="G20" s="24">
        <v>22300.0</v>
      </c>
      <c r="H20" s="24">
        <v>19700.0</v>
      </c>
      <c r="I20" s="24">
        <v>21600.0</v>
      </c>
      <c r="J20" s="24">
        <v>150000.0</v>
      </c>
      <c r="K20" s="24">
        <v>69000.0</v>
      </c>
      <c r="L20" s="24">
        <v>125000.0</v>
      </c>
      <c r="M20" s="24">
        <v>7500.0</v>
      </c>
      <c r="N20" s="24">
        <v>2800.0</v>
      </c>
      <c r="O20" s="26">
        <v>4000.0</v>
      </c>
      <c r="P20" s="27">
        <v>350.0</v>
      </c>
      <c r="Q20" s="27">
        <v>150.0</v>
      </c>
      <c r="R20" s="28">
        <v>270.0</v>
      </c>
    </row>
    <row r="21">
      <c r="B21" s="22" t="s">
        <v>161</v>
      </c>
      <c r="C21" s="23">
        <v>0.0</v>
      </c>
      <c r="D21" s="24">
        <v>6550.0</v>
      </c>
      <c r="E21" s="24">
        <v>4950.0</v>
      </c>
      <c r="F21" s="25">
        <v>6000.0</v>
      </c>
      <c r="G21" s="24">
        <v>24000.0</v>
      </c>
      <c r="H21" s="24">
        <v>17310.0</v>
      </c>
      <c r="I21" s="24">
        <v>21250.0</v>
      </c>
      <c r="J21" s="24">
        <v>145000.0</v>
      </c>
      <c r="K21" s="24">
        <v>77000.0</v>
      </c>
      <c r="L21" s="24">
        <v>128000.0</v>
      </c>
      <c r="M21" s="24">
        <v>5600.0</v>
      </c>
      <c r="N21" s="24">
        <v>2550.0</v>
      </c>
      <c r="O21" s="26">
        <v>4250.0</v>
      </c>
      <c r="P21" s="27">
        <v>310.0</v>
      </c>
      <c r="Q21" s="27">
        <v>115.0</v>
      </c>
      <c r="R21" s="28">
        <v>220.0</v>
      </c>
      <c r="S21" s="17">
        <v>6.5</v>
      </c>
      <c r="T21" s="17">
        <v>0.6</v>
      </c>
      <c r="U21" s="17">
        <v>4.1</v>
      </c>
    </row>
    <row r="22">
      <c r="B22" s="22" t="s">
        <v>162</v>
      </c>
      <c r="C22" s="23">
        <v>0.0</v>
      </c>
      <c r="D22" s="24">
        <v>7100.0</v>
      </c>
      <c r="E22" s="24">
        <v>5950.0</v>
      </c>
      <c r="F22" s="25">
        <v>6969.0</v>
      </c>
      <c r="G22" s="24"/>
      <c r="H22" s="24"/>
      <c r="I22" s="24"/>
      <c r="J22" s="24">
        <v>154000.0</v>
      </c>
      <c r="K22" s="24">
        <v>84000.0</v>
      </c>
      <c r="L22" s="24">
        <v>118000.0</v>
      </c>
      <c r="M22" s="24">
        <v>5420.0</v>
      </c>
      <c r="N22" s="24">
        <v>2975.0</v>
      </c>
      <c r="O22" s="24">
        <v>4100.0</v>
      </c>
      <c r="P22" s="27">
        <v>295.0</v>
      </c>
      <c r="Q22" s="27">
        <v>165.0</v>
      </c>
      <c r="R22" s="27">
        <v>265.0</v>
      </c>
    </row>
    <row r="23">
      <c r="B23" s="22" t="s">
        <v>163</v>
      </c>
      <c r="C23" s="35">
        <v>1.0</v>
      </c>
      <c r="D23" s="24">
        <v>6350.0</v>
      </c>
      <c r="E23" s="24">
        <v>5100.0</v>
      </c>
      <c r="F23" s="25">
        <v>6325.0</v>
      </c>
      <c r="G23" s="24">
        <v>22500.0</v>
      </c>
      <c r="H23" s="24">
        <v>18000.0</v>
      </c>
      <c r="I23" s="24">
        <v>21555.0</v>
      </c>
      <c r="J23" s="24">
        <v>133500.0</v>
      </c>
      <c r="K23" s="24">
        <v>78000.0</v>
      </c>
      <c r="L23" s="24">
        <v>78000.0</v>
      </c>
      <c r="M23" s="24">
        <v>4255.0</v>
      </c>
      <c r="N23" s="24">
        <v>2700.0</v>
      </c>
      <c r="O23" s="24">
        <v>2700.0</v>
      </c>
      <c r="P23" s="27"/>
      <c r="Q23" s="27"/>
      <c r="R23" s="27"/>
    </row>
    <row r="24">
      <c r="B24" s="22" t="s">
        <v>121</v>
      </c>
      <c r="C24" s="23">
        <v>0.0</v>
      </c>
      <c r="D24" s="24">
        <v>7050.0</v>
      </c>
      <c r="E24" s="24">
        <v>5700.0</v>
      </c>
      <c r="F24" s="25">
        <v>6666.0</v>
      </c>
      <c r="G24" s="24">
        <v>23000.0</v>
      </c>
      <c r="H24" s="24">
        <v>18500.0</v>
      </c>
      <c r="I24" s="24">
        <v>22000.0</v>
      </c>
      <c r="J24" s="24">
        <v>175000.0</v>
      </c>
      <c r="K24" s="24">
        <v>83500.0</v>
      </c>
      <c r="L24" s="24">
        <v>123456.0</v>
      </c>
      <c r="M24" s="24">
        <v>6400.0</v>
      </c>
      <c r="N24" s="24">
        <v>2200.0</v>
      </c>
      <c r="O24" s="24">
        <v>3600.0</v>
      </c>
      <c r="P24" s="27">
        <v>305.0</v>
      </c>
      <c r="Q24" s="28">
        <v>120.0</v>
      </c>
      <c r="R24" s="28">
        <v>190.0</v>
      </c>
      <c r="S24" s="17">
        <v>10.0</v>
      </c>
      <c r="T24" s="17">
        <v>0.5</v>
      </c>
      <c r="U24" s="17">
        <v>2.5</v>
      </c>
    </row>
    <row r="25">
      <c r="B25" s="22" t="s">
        <v>103</v>
      </c>
      <c r="C25" s="23">
        <v>0.0</v>
      </c>
      <c r="D25" s="24">
        <v>7250.0</v>
      </c>
      <c r="E25" s="24">
        <v>5805.0</v>
      </c>
      <c r="F25" s="25">
        <v>6455.0</v>
      </c>
      <c r="G25" s="24">
        <v>24550.0</v>
      </c>
      <c r="H25" s="24">
        <v>20755.0</v>
      </c>
      <c r="I25" s="24">
        <v>22222.0</v>
      </c>
      <c r="J25" s="24">
        <v>156000.0</v>
      </c>
      <c r="K25" s="24">
        <v>87000.0</v>
      </c>
      <c r="L25" s="24">
        <v>137000.0</v>
      </c>
      <c r="M25" s="24">
        <v>6350.0</v>
      </c>
      <c r="N25" s="24">
        <v>3175.0</v>
      </c>
      <c r="O25" s="24">
        <v>4550.0</v>
      </c>
      <c r="P25" s="27">
        <v>333.0</v>
      </c>
      <c r="Q25" s="27">
        <v>152.0</v>
      </c>
      <c r="R25" s="27">
        <v>222.0</v>
      </c>
      <c r="S25" s="17" t="s">
        <v>164</v>
      </c>
    </row>
    <row r="26">
      <c r="B26" s="22" t="s">
        <v>44</v>
      </c>
      <c r="C26" s="23">
        <v>0.0</v>
      </c>
      <c r="D26" s="24">
        <v>6950.0</v>
      </c>
      <c r="E26" s="24">
        <v>5275.0</v>
      </c>
      <c r="F26" s="25">
        <v>6750.0</v>
      </c>
      <c r="G26" s="24">
        <v>24500.0</v>
      </c>
      <c r="H26" s="24">
        <v>18500.0</v>
      </c>
      <c r="I26" s="24">
        <v>23500.0</v>
      </c>
      <c r="J26" s="24">
        <v>145250.0</v>
      </c>
      <c r="K26" s="24">
        <v>81500.0</v>
      </c>
      <c r="L26" s="24">
        <v>115000.0</v>
      </c>
      <c r="M26" s="24">
        <v>5750.0</v>
      </c>
      <c r="N26" s="24">
        <v>3000.0</v>
      </c>
      <c r="O26" s="24">
        <v>5150.0</v>
      </c>
      <c r="P26" s="27">
        <v>275.0</v>
      </c>
      <c r="Q26" s="27">
        <v>115.0</v>
      </c>
      <c r="R26" s="27">
        <v>200.0</v>
      </c>
    </row>
    <row r="27">
      <c r="B27" s="22" t="s">
        <v>165</v>
      </c>
      <c r="C27" s="23">
        <v>0.0</v>
      </c>
      <c r="D27" s="24">
        <v>6700.0</v>
      </c>
      <c r="E27" s="24">
        <v>5600.0</v>
      </c>
      <c r="F27" s="25">
        <v>6100.0</v>
      </c>
      <c r="G27" s="24">
        <v>25000.0</v>
      </c>
      <c r="H27" s="24">
        <v>19500.0</v>
      </c>
      <c r="I27" s="24">
        <v>21000.0</v>
      </c>
      <c r="J27" s="24">
        <v>165000.0</v>
      </c>
      <c r="K27" s="24">
        <v>86000.0</v>
      </c>
      <c r="L27" s="24">
        <v>110000.0</v>
      </c>
      <c r="M27" s="24">
        <v>5600.0</v>
      </c>
      <c r="N27" s="24">
        <v>2900.0</v>
      </c>
      <c r="O27" s="24">
        <v>4400.0</v>
      </c>
      <c r="P27" s="27">
        <v>480.0</v>
      </c>
      <c r="Q27" s="27">
        <v>130.0</v>
      </c>
      <c r="R27" s="27">
        <v>180.0</v>
      </c>
      <c r="S27" s="17">
        <v>60.0</v>
      </c>
      <c r="T27" s="17">
        <v>0.9</v>
      </c>
      <c r="U27" s="17">
        <v>12.0</v>
      </c>
    </row>
    <row r="28">
      <c r="B28" s="22" t="s">
        <v>166</v>
      </c>
      <c r="C28" s="23">
        <v>0.0</v>
      </c>
      <c r="D28" s="24">
        <v>7150.0</v>
      </c>
      <c r="E28" s="24">
        <v>5555.0</v>
      </c>
      <c r="F28" s="25">
        <v>7100.0</v>
      </c>
      <c r="G28" s="24">
        <v>26968.0</v>
      </c>
      <c r="H28" s="24">
        <v>20000.0</v>
      </c>
      <c r="I28" s="24">
        <v>26070.0</v>
      </c>
      <c r="J28" s="24">
        <v>200000.0</v>
      </c>
      <c r="K28" s="24">
        <v>85000.0</v>
      </c>
      <c r="L28" s="24">
        <v>86000.0</v>
      </c>
      <c r="M28" s="24">
        <v>9888.0</v>
      </c>
      <c r="N28" s="24">
        <v>3000.0</v>
      </c>
      <c r="O28" s="24">
        <v>3000.0</v>
      </c>
      <c r="P28" s="27">
        <v>444.0</v>
      </c>
      <c r="Q28" s="27">
        <v>115.0</v>
      </c>
      <c r="R28" s="27">
        <v>120.0</v>
      </c>
      <c r="S28" s="17">
        <v>10.81</v>
      </c>
      <c r="T28" s="17">
        <v>0.7</v>
      </c>
      <c r="U28" s="17">
        <v>0.8</v>
      </c>
    </row>
    <row r="29">
      <c r="B29" s="22" t="s">
        <v>167</v>
      </c>
      <c r="C29" s="36">
        <v>0.0</v>
      </c>
      <c r="D29" s="37">
        <v>6900.0</v>
      </c>
      <c r="E29" s="37">
        <v>5425.0</v>
      </c>
      <c r="F29" s="38">
        <v>6450.0</v>
      </c>
      <c r="G29" s="37">
        <v>24444.0</v>
      </c>
      <c r="H29" s="37">
        <v>18400.0</v>
      </c>
      <c r="I29" s="37">
        <v>22222.0</v>
      </c>
      <c r="J29" s="37">
        <v>222222.0</v>
      </c>
      <c r="K29" s="37">
        <v>74000.0</v>
      </c>
      <c r="L29" s="37">
        <v>166666.0</v>
      </c>
      <c r="M29" s="37">
        <v>9222.0</v>
      </c>
      <c r="N29" s="37">
        <v>2555.0</v>
      </c>
      <c r="O29" s="37">
        <v>6050.0</v>
      </c>
      <c r="P29" s="39">
        <v>530.0</v>
      </c>
      <c r="Q29" s="39">
        <v>128.0</v>
      </c>
      <c r="R29" s="39">
        <v>333.0</v>
      </c>
    </row>
    <row r="30">
      <c r="B30" s="40" t="s">
        <v>168</v>
      </c>
      <c r="C30" s="30">
        <v>0.0</v>
      </c>
      <c r="D30" s="7">
        <v>7650.0</v>
      </c>
      <c r="E30" s="7">
        <v>5800.0</v>
      </c>
      <c r="F30" s="38">
        <v>7000.0</v>
      </c>
      <c r="G30" s="32">
        <f>19000*1.3</f>
        <v>24700</v>
      </c>
      <c r="H30" s="26">
        <v>19000.0</v>
      </c>
      <c r="I30" s="32">
        <f>H30*1.21</f>
        <v>22990</v>
      </c>
      <c r="J30" s="26">
        <v>170000.0</v>
      </c>
      <c r="K30" s="26">
        <v>85000.0</v>
      </c>
      <c r="L30" s="26">
        <v>140000.0</v>
      </c>
      <c r="M30" s="26">
        <v>5400.0</v>
      </c>
      <c r="N30" s="26">
        <v>2900.0</v>
      </c>
      <c r="O30" s="26">
        <v>4400.0</v>
      </c>
      <c r="P30" s="17">
        <v>265.0</v>
      </c>
      <c r="Q30" s="17">
        <v>165.0</v>
      </c>
      <c r="R30" s="17">
        <v>170.0</v>
      </c>
    </row>
    <row r="31">
      <c r="B31" s="17" t="s">
        <v>169</v>
      </c>
      <c r="C31" s="23">
        <v>0.0</v>
      </c>
      <c r="F31" s="33"/>
      <c r="J31" s="26">
        <v>236000.0</v>
      </c>
      <c r="K31" s="17">
        <v>87000.0</v>
      </c>
      <c r="L31" s="26">
        <v>170000.0</v>
      </c>
      <c r="M31" s="17">
        <v>5500.0</v>
      </c>
      <c r="N31" s="17">
        <v>2800.0</v>
      </c>
      <c r="O31" s="17">
        <v>4400.0</v>
      </c>
      <c r="P31" s="17">
        <v>340.0</v>
      </c>
      <c r="Q31" s="17">
        <v>158.0</v>
      </c>
      <c r="R31" s="17">
        <v>220.0</v>
      </c>
    </row>
    <row r="32">
      <c r="B32" s="17" t="s">
        <v>170</v>
      </c>
      <c r="C32" s="23">
        <v>0.0</v>
      </c>
      <c r="D32" s="17">
        <v>6700.0</v>
      </c>
      <c r="E32" s="17">
        <v>5520.0</v>
      </c>
      <c r="F32" s="25">
        <v>6450.0</v>
      </c>
      <c r="G32" s="17" t="s">
        <v>171</v>
      </c>
      <c r="J32" s="26">
        <v>195000.0</v>
      </c>
      <c r="K32" s="17">
        <v>89000.0</v>
      </c>
      <c r="L32" s="26">
        <v>155000.0</v>
      </c>
      <c r="M32" s="17">
        <v>9000.0</v>
      </c>
      <c r="N32" s="17">
        <v>3115.0</v>
      </c>
      <c r="O32" s="17">
        <v>5800.0</v>
      </c>
      <c r="P32" s="17">
        <v>475.0</v>
      </c>
      <c r="Q32" s="17">
        <v>175.0</v>
      </c>
      <c r="R32" s="17">
        <v>310.0</v>
      </c>
    </row>
    <row r="33">
      <c r="B33" s="17" t="s">
        <v>172</v>
      </c>
      <c r="C33" s="35">
        <v>1.0</v>
      </c>
      <c r="D33" s="17">
        <v>6100.0</v>
      </c>
      <c r="E33" s="17">
        <v>4500.0</v>
      </c>
      <c r="F33" s="25">
        <v>5700.0</v>
      </c>
      <c r="G33" s="17">
        <v>22000.0</v>
      </c>
      <c r="H33" s="17">
        <v>15000.0</v>
      </c>
      <c r="I33" s="17">
        <v>18000.0</v>
      </c>
      <c r="J33" s="26">
        <v>248000.0</v>
      </c>
      <c r="K33" s="17">
        <v>81000.0</v>
      </c>
      <c r="L33" s="26">
        <v>188000.0</v>
      </c>
      <c r="M33" s="17">
        <v>12000.0</v>
      </c>
      <c r="N33" s="17">
        <v>2800.0</v>
      </c>
      <c r="O33" s="17">
        <v>8800.0</v>
      </c>
      <c r="P33" s="17">
        <v>900.0</v>
      </c>
      <c r="Q33" s="17">
        <v>150.0</v>
      </c>
      <c r="R33" s="17">
        <v>600.0</v>
      </c>
    </row>
    <row r="34">
      <c r="B34" s="17" t="s">
        <v>55</v>
      </c>
      <c r="C34" s="23">
        <v>0.0</v>
      </c>
      <c r="D34" s="17">
        <v>7500.0</v>
      </c>
      <c r="E34" s="17">
        <v>5450.0</v>
      </c>
      <c r="F34" s="25">
        <v>7250.0</v>
      </c>
      <c r="G34" s="17">
        <v>25500.0</v>
      </c>
      <c r="H34" s="17">
        <v>19500.0</v>
      </c>
      <c r="I34" s="17">
        <v>24700.0</v>
      </c>
      <c r="J34" s="26">
        <v>145000.0</v>
      </c>
      <c r="K34" s="17">
        <v>75000.0</v>
      </c>
      <c r="L34" s="26">
        <v>95000.0</v>
      </c>
      <c r="M34" s="17">
        <v>6300.0</v>
      </c>
      <c r="N34" s="17">
        <v>2750.0</v>
      </c>
      <c r="O34" s="17">
        <v>2900.0</v>
      </c>
      <c r="P34" s="17">
        <v>350.0</v>
      </c>
      <c r="Q34" s="17">
        <v>160.0</v>
      </c>
      <c r="R34" s="17">
        <v>200.0</v>
      </c>
      <c r="S34" s="17">
        <v>13.0</v>
      </c>
      <c r="T34" s="17">
        <v>0.8</v>
      </c>
      <c r="U34" s="17">
        <v>4.0</v>
      </c>
    </row>
    <row r="35">
      <c r="B35" s="17" t="s">
        <v>48</v>
      </c>
      <c r="C35" s="23">
        <v>0.0</v>
      </c>
      <c r="D35" s="17">
        <v>6675.0</v>
      </c>
      <c r="E35" s="17">
        <v>5450.0</v>
      </c>
      <c r="F35" s="17">
        <v>6300.0</v>
      </c>
      <c r="J35" s="17">
        <v>145000.0</v>
      </c>
      <c r="K35" s="17">
        <v>92000.0</v>
      </c>
      <c r="L35" s="17">
        <v>136000.0</v>
      </c>
      <c r="M35" s="17">
        <v>5600.0</v>
      </c>
      <c r="N35" s="17">
        <v>2900.0</v>
      </c>
      <c r="O35" s="17">
        <v>4800.0</v>
      </c>
      <c r="P35" s="17">
        <v>340.0</v>
      </c>
      <c r="Q35" s="17">
        <v>165.0</v>
      </c>
      <c r="R35" s="17">
        <v>250.0</v>
      </c>
      <c r="S35" s="17">
        <v>4.0</v>
      </c>
      <c r="T35" s="17">
        <v>0.25</v>
      </c>
      <c r="U35" s="17">
        <v>0.45</v>
      </c>
    </row>
    <row r="36">
      <c r="B36" s="17"/>
      <c r="C36" s="31"/>
    </row>
    <row r="37">
      <c r="B37" s="18" t="s">
        <v>60</v>
      </c>
      <c r="C37" s="41">
        <f>AVERAGE(C2:C29)</f>
        <v>0.03846153846</v>
      </c>
      <c r="D37" s="42">
        <f t="shared" ref="D37:R37" si="1">AVERAGE(D2:D35)</f>
        <v>6936.03125</v>
      </c>
      <c r="E37" s="42">
        <f t="shared" si="1"/>
        <v>5494.0625</v>
      </c>
      <c r="F37" s="42">
        <f t="shared" si="1"/>
        <v>6593.84375</v>
      </c>
      <c r="G37" s="42">
        <f t="shared" si="1"/>
        <v>23946.38462</v>
      </c>
      <c r="H37" s="42">
        <f t="shared" si="1"/>
        <v>18916.53846</v>
      </c>
      <c r="I37" s="42">
        <f t="shared" si="1"/>
        <v>22363.96154</v>
      </c>
      <c r="J37" s="42">
        <f t="shared" si="1"/>
        <v>186126.1212</v>
      </c>
      <c r="K37" s="42">
        <f t="shared" si="1"/>
        <v>80971.39394</v>
      </c>
      <c r="L37" s="42">
        <f t="shared" si="1"/>
        <v>139142.1515</v>
      </c>
      <c r="M37" s="42">
        <f t="shared" si="1"/>
        <v>6327.393939</v>
      </c>
      <c r="N37" s="42">
        <f t="shared" si="1"/>
        <v>2721.333333</v>
      </c>
      <c r="O37" s="42">
        <f t="shared" si="1"/>
        <v>4567.333333</v>
      </c>
      <c r="P37" s="42">
        <f t="shared" si="1"/>
        <v>390.3548387</v>
      </c>
      <c r="Q37" s="42">
        <f t="shared" si="1"/>
        <v>145.516129</v>
      </c>
      <c r="R37" s="42">
        <f t="shared" si="1"/>
        <v>254.516129</v>
      </c>
    </row>
    <row r="38">
      <c r="B38" s="18" t="s">
        <v>61</v>
      </c>
      <c r="C38" s="31">
        <f>MEDIAN(C2:C29)</f>
        <v>0</v>
      </c>
      <c r="D38" s="42">
        <f t="shared" ref="D38:R38" si="2">MEDIAN(D2:D35)</f>
        <v>6959.5</v>
      </c>
      <c r="E38" s="42">
        <f t="shared" si="2"/>
        <v>5510</v>
      </c>
      <c r="F38" s="42">
        <f t="shared" si="2"/>
        <v>6477.5</v>
      </c>
      <c r="G38" s="42">
        <f t="shared" si="2"/>
        <v>24075</v>
      </c>
      <c r="H38" s="42">
        <f t="shared" si="2"/>
        <v>18700</v>
      </c>
      <c r="I38" s="42">
        <f t="shared" si="2"/>
        <v>22105</v>
      </c>
      <c r="J38" s="42">
        <f t="shared" si="2"/>
        <v>165000</v>
      </c>
      <c r="K38" s="42">
        <f t="shared" si="2"/>
        <v>83000</v>
      </c>
      <c r="L38" s="42">
        <f t="shared" si="2"/>
        <v>128000</v>
      </c>
      <c r="M38" s="42">
        <f t="shared" si="2"/>
        <v>5600</v>
      </c>
      <c r="N38" s="42">
        <f t="shared" si="2"/>
        <v>2800</v>
      </c>
      <c r="O38" s="42">
        <f t="shared" si="2"/>
        <v>4400</v>
      </c>
      <c r="P38" s="42">
        <f t="shared" si="2"/>
        <v>350</v>
      </c>
      <c r="Q38" s="42">
        <f t="shared" si="2"/>
        <v>152</v>
      </c>
      <c r="R38" s="42">
        <f t="shared" si="2"/>
        <v>222</v>
      </c>
    </row>
    <row r="39">
      <c r="B39" s="18" t="s">
        <v>62</v>
      </c>
      <c r="C39" s="23">
        <v>0.0</v>
      </c>
      <c r="D39" s="42">
        <f t="shared" ref="D39:R39" si="3">MIN(D2:D35)</f>
        <v>6100</v>
      </c>
      <c r="E39" s="42">
        <f t="shared" si="3"/>
        <v>4500</v>
      </c>
      <c r="F39" s="42">
        <f t="shared" si="3"/>
        <v>5700</v>
      </c>
      <c r="G39" s="42">
        <f t="shared" si="3"/>
        <v>21725</v>
      </c>
      <c r="H39" s="42">
        <f t="shared" si="3"/>
        <v>15000</v>
      </c>
      <c r="I39" s="42">
        <f t="shared" si="3"/>
        <v>18000</v>
      </c>
      <c r="J39" s="42">
        <f t="shared" si="3"/>
        <v>109500</v>
      </c>
      <c r="K39" s="42">
        <f t="shared" si="3"/>
        <v>58000</v>
      </c>
      <c r="L39" s="42">
        <f t="shared" si="3"/>
        <v>78000</v>
      </c>
      <c r="M39" s="42">
        <f t="shared" si="3"/>
        <v>3600</v>
      </c>
      <c r="N39" s="42">
        <f t="shared" si="3"/>
        <v>1880</v>
      </c>
      <c r="O39" s="42">
        <f t="shared" si="3"/>
        <v>2100</v>
      </c>
      <c r="P39" s="42">
        <f t="shared" si="3"/>
        <v>255</v>
      </c>
      <c r="Q39" s="42">
        <f t="shared" si="3"/>
        <v>69</v>
      </c>
      <c r="R39" s="42">
        <f t="shared" si="3"/>
        <v>120</v>
      </c>
    </row>
    <row r="40">
      <c r="B40" s="18" t="s">
        <v>63</v>
      </c>
      <c r="C40" s="23">
        <v>1.0</v>
      </c>
      <c r="D40" s="42">
        <f t="shared" ref="D40:R40" si="4">MAX(D2:D35)</f>
        <v>8469</v>
      </c>
      <c r="E40" s="42">
        <f t="shared" si="4"/>
        <v>6095</v>
      </c>
      <c r="F40" s="42">
        <f t="shared" si="4"/>
        <v>8369</v>
      </c>
      <c r="G40" s="42">
        <f t="shared" si="4"/>
        <v>26969</v>
      </c>
      <c r="H40" s="42">
        <f t="shared" si="4"/>
        <v>21200</v>
      </c>
      <c r="I40" s="42">
        <f t="shared" si="4"/>
        <v>26070</v>
      </c>
      <c r="J40" s="42">
        <f t="shared" si="4"/>
        <v>469000</v>
      </c>
      <c r="K40" s="42">
        <f t="shared" si="4"/>
        <v>92000</v>
      </c>
      <c r="L40" s="42">
        <f t="shared" si="4"/>
        <v>437069</v>
      </c>
      <c r="M40" s="42">
        <f t="shared" si="4"/>
        <v>12000</v>
      </c>
      <c r="N40" s="42">
        <f t="shared" si="4"/>
        <v>3300</v>
      </c>
      <c r="O40" s="42">
        <f t="shared" si="4"/>
        <v>8800</v>
      </c>
      <c r="P40" s="42">
        <f t="shared" si="4"/>
        <v>900</v>
      </c>
      <c r="Q40" s="42">
        <f t="shared" si="4"/>
        <v>180</v>
      </c>
      <c r="R40" s="42">
        <f t="shared" si="4"/>
        <v>600</v>
      </c>
    </row>
    <row r="41">
      <c r="B41" s="18"/>
      <c r="C41" s="2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>
      <c r="B42" s="44"/>
      <c r="C42" s="31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</row>
    <row r="43">
      <c r="B43" s="44"/>
      <c r="C43" s="31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</row>
    <row r="44">
      <c r="B44" s="44"/>
      <c r="C44" s="31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5">
      <c r="B45" s="44"/>
      <c r="C45" s="31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</row>
    <row r="46">
      <c r="B46" s="44"/>
      <c r="C46" s="31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>
      <c r="B47" s="44"/>
      <c r="C47" s="31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</row>
    <row r="48">
      <c r="B48" s="44"/>
      <c r="C48" s="31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</row>
    <row r="49">
      <c r="B49" s="44"/>
      <c r="C49" s="31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</row>
    <row r="50">
      <c r="B50" s="44"/>
      <c r="C50" s="31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</row>
    <row r="51">
      <c r="B51" s="44"/>
      <c r="C51" s="31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</row>
    <row r="52">
      <c r="B52" s="44"/>
      <c r="C52" s="31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</row>
    <row r="53">
      <c r="B53" s="44"/>
      <c r="C53" s="31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</row>
    <row r="54">
      <c r="B54" s="44"/>
      <c r="C54" s="31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</row>
    <row r="55">
      <c r="B55" s="44"/>
      <c r="C55" s="31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>
      <c r="B56" s="44"/>
      <c r="C56" s="31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>
      <c r="B57" s="44"/>
      <c r="C57" s="31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</row>
    <row r="58">
      <c r="B58" s="44"/>
      <c r="C58" s="31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>
      <c r="B59" s="44"/>
      <c r="C59" s="31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>
      <c r="B60" s="44"/>
      <c r="C60" s="31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>
      <c r="B61" s="44"/>
      <c r="C61" s="31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</row>
    <row r="62">
      <c r="B62" s="44"/>
      <c r="C62" s="31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</row>
    <row r="63">
      <c r="B63" s="44"/>
      <c r="C63" s="31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</row>
    <row r="64">
      <c r="B64" s="44"/>
      <c r="C64" s="31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</row>
    <row r="65">
      <c r="B65" s="44"/>
      <c r="C65" s="31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</row>
    <row r="66">
      <c r="B66" s="44"/>
      <c r="C66" s="31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</row>
    <row r="67">
      <c r="B67" s="44"/>
      <c r="C67" s="31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</row>
    <row r="68">
      <c r="B68" s="44"/>
      <c r="C68" s="31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</row>
    <row r="69">
      <c r="B69" s="44"/>
      <c r="C69" s="31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</row>
    <row r="70">
      <c r="B70" s="44"/>
      <c r="C70" s="31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</row>
    <row r="71">
      <c r="B71" s="44"/>
      <c r="C71" s="31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</row>
    <row r="72">
      <c r="B72" s="44"/>
      <c r="C72" s="31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>
      <c r="B73" s="44"/>
      <c r="C73" s="31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</row>
    <row r="74">
      <c r="B74" s="44"/>
      <c r="C74" s="31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</row>
    <row r="75">
      <c r="B75" s="44"/>
      <c r="C75" s="31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</row>
    <row r="76">
      <c r="B76" s="44"/>
      <c r="C76" s="31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</row>
    <row r="77">
      <c r="B77" s="44"/>
      <c r="C77" s="31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</row>
    <row r="78">
      <c r="B78" s="44"/>
      <c r="C78" s="31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</row>
    <row r="79">
      <c r="B79" s="44"/>
      <c r="C79" s="31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</row>
    <row r="80">
      <c r="B80" s="44"/>
      <c r="C80" s="31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</row>
    <row r="81">
      <c r="B81" s="44"/>
      <c r="C81" s="31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>
      <c r="B82" s="44"/>
      <c r="C82" s="31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</row>
    <row r="83">
      <c r="B83" s="44"/>
      <c r="C83" s="31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</row>
    <row r="84">
      <c r="B84" s="44"/>
      <c r="C84" s="31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>
      <c r="B85" s="44"/>
      <c r="C85" s="31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</row>
    <row r="86">
      <c r="B86" s="44"/>
      <c r="C86" s="31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</row>
    <row r="87">
      <c r="B87" s="44"/>
      <c r="C87" s="31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</row>
    <row r="88">
      <c r="B88" s="44"/>
      <c r="C88" s="31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</row>
    <row r="89">
      <c r="B89" s="44"/>
      <c r="C89" s="31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</row>
    <row r="90">
      <c r="B90" s="44"/>
      <c r="C90" s="31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</row>
    <row r="91">
      <c r="B91" s="44"/>
      <c r="C91" s="31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</row>
    <row r="92">
      <c r="B92" s="44"/>
      <c r="C92" s="31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</row>
    <row r="93">
      <c r="B93" s="44"/>
      <c r="C93" s="31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</row>
    <row r="94">
      <c r="B94" s="44"/>
      <c r="C94" s="31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</row>
    <row r="95">
      <c r="B95" s="44"/>
      <c r="C95" s="31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</row>
    <row r="96">
      <c r="B96" s="44"/>
      <c r="C96" s="31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</row>
    <row r="97">
      <c r="B97" s="44"/>
      <c r="C97" s="31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</row>
    <row r="98">
      <c r="B98" s="44"/>
      <c r="C98" s="31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</row>
    <row r="99">
      <c r="B99" s="44"/>
      <c r="C99" s="31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</row>
    <row r="100">
      <c r="B100" s="44"/>
      <c r="C100" s="31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</row>
    <row r="101">
      <c r="B101" s="44"/>
      <c r="C101" s="31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</row>
    <row r="102">
      <c r="B102" s="44"/>
      <c r="C102" s="31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</row>
    <row r="103">
      <c r="B103" s="44"/>
      <c r="C103" s="31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</row>
    <row r="104">
      <c r="B104" s="44"/>
      <c r="C104" s="31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</row>
    <row r="105">
      <c r="B105" s="44"/>
      <c r="C105" s="31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</row>
    <row r="106">
      <c r="B106" s="44"/>
      <c r="C106" s="31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</row>
    <row r="107">
      <c r="B107" s="44"/>
      <c r="C107" s="31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</row>
    <row r="108">
      <c r="B108" s="44"/>
      <c r="C108" s="31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</row>
    <row r="109">
      <c r="B109" s="44"/>
      <c r="C109" s="31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</row>
    <row r="110">
      <c r="B110" s="44"/>
      <c r="C110" s="31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</row>
    <row r="111">
      <c r="B111" s="44"/>
      <c r="C111" s="31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</row>
    <row r="112">
      <c r="B112" s="44"/>
      <c r="C112" s="31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</row>
    <row r="113">
      <c r="B113" s="44"/>
      <c r="C113" s="31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</row>
    <row r="114">
      <c r="B114" s="44"/>
      <c r="C114" s="31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</row>
    <row r="115">
      <c r="B115" s="44"/>
      <c r="C115" s="31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</row>
    <row r="116">
      <c r="B116" s="44"/>
      <c r="C116" s="31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</row>
    <row r="117">
      <c r="B117" s="44"/>
      <c r="C117" s="31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</row>
    <row r="118">
      <c r="B118" s="44"/>
      <c r="C118" s="31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</row>
    <row r="119">
      <c r="B119" s="44"/>
      <c r="C119" s="31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</row>
    <row r="120">
      <c r="B120" s="44"/>
      <c r="C120" s="31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  <row r="121">
      <c r="B121" s="44"/>
      <c r="C121" s="31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</row>
    <row r="122">
      <c r="B122" s="44"/>
      <c r="C122" s="31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</row>
    <row r="123">
      <c r="B123" s="44"/>
      <c r="C123" s="31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</row>
    <row r="124">
      <c r="B124" s="44"/>
      <c r="C124" s="31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</row>
    <row r="125">
      <c r="B125" s="44"/>
      <c r="C125" s="31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</row>
    <row r="126">
      <c r="B126" s="44"/>
      <c r="C126" s="31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</row>
    <row r="127">
      <c r="B127" s="44"/>
      <c r="C127" s="31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</row>
    <row r="128">
      <c r="B128" s="44"/>
      <c r="C128" s="31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</row>
    <row r="129">
      <c r="B129" s="44"/>
      <c r="C129" s="31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</row>
    <row r="130">
      <c r="B130" s="44"/>
      <c r="C130" s="31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</row>
    <row r="131">
      <c r="B131" s="44"/>
      <c r="C131" s="31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</row>
    <row r="132">
      <c r="B132" s="44"/>
      <c r="C132" s="31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</row>
    <row r="133">
      <c r="B133" s="44"/>
      <c r="C133" s="31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</row>
    <row r="134">
      <c r="B134" s="44"/>
      <c r="C134" s="31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</row>
    <row r="135">
      <c r="B135" s="44"/>
      <c r="C135" s="31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</row>
    <row r="136">
      <c r="B136" s="44"/>
      <c r="C136" s="31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</row>
    <row r="137">
      <c r="B137" s="44"/>
      <c r="C137" s="31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</row>
    <row r="138">
      <c r="B138" s="44"/>
      <c r="C138" s="31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</row>
    <row r="139">
      <c r="B139" s="44"/>
      <c r="C139" s="31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</row>
    <row r="140">
      <c r="B140" s="44"/>
      <c r="C140" s="31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</row>
    <row r="141">
      <c r="B141" s="44"/>
      <c r="C141" s="31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</row>
    <row r="142">
      <c r="B142" s="44"/>
      <c r="C142" s="31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</row>
    <row r="143">
      <c r="B143" s="44"/>
      <c r="C143" s="31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</row>
    <row r="144">
      <c r="B144" s="44"/>
      <c r="C144" s="31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</row>
    <row r="145">
      <c r="B145" s="44"/>
      <c r="C145" s="31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</row>
    <row r="146">
      <c r="B146" s="44"/>
      <c r="C146" s="31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</row>
    <row r="147">
      <c r="B147" s="44"/>
      <c r="C147" s="31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</row>
    <row r="148">
      <c r="B148" s="44"/>
      <c r="C148" s="31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>
      <c r="B149" s="44"/>
      <c r="C149" s="31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>
      <c r="B150" s="44"/>
      <c r="C150" s="31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>
      <c r="B151" s="44"/>
      <c r="C151" s="31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>
      <c r="B152" s="44"/>
      <c r="C152" s="31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>
      <c r="B153" s="44"/>
      <c r="C153" s="31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4">
      <c r="B154" s="44"/>
      <c r="C154" s="31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</row>
    <row r="155">
      <c r="B155" s="44"/>
      <c r="C155" s="31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>
      <c r="B156" s="44"/>
      <c r="C156" s="31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</row>
    <row r="157">
      <c r="B157" s="44"/>
      <c r="C157" s="31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</row>
    <row r="158">
      <c r="B158" s="44"/>
      <c r="C158" s="31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</row>
    <row r="159">
      <c r="B159" s="44"/>
      <c r="C159" s="31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</row>
    <row r="160">
      <c r="B160" s="44"/>
      <c r="C160" s="31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</row>
    <row r="161">
      <c r="B161" s="44"/>
      <c r="C161" s="31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</row>
    <row r="162">
      <c r="B162" s="44"/>
      <c r="C162" s="31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</row>
    <row r="163">
      <c r="B163" s="44"/>
      <c r="C163" s="31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>
      <c r="B164" s="44"/>
      <c r="C164" s="31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>
      <c r="B165" s="44"/>
      <c r="C165" s="31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>
      <c r="B166" s="44"/>
      <c r="C166" s="31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</row>
    <row r="167">
      <c r="B167" s="44"/>
      <c r="C167" s="31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</row>
    <row r="168">
      <c r="B168" s="44"/>
      <c r="C168" s="31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>
      <c r="B169" s="44"/>
      <c r="C169" s="31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</row>
    <row r="170">
      <c r="B170" s="44"/>
      <c r="C170" s="31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</row>
    <row r="171">
      <c r="B171" s="44"/>
      <c r="C171" s="31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</row>
    <row r="172">
      <c r="B172" s="44"/>
      <c r="C172" s="31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</row>
    <row r="173">
      <c r="B173" s="44"/>
      <c r="C173" s="31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</row>
    <row r="174">
      <c r="B174" s="44"/>
      <c r="C174" s="31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</row>
    <row r="175">
      <c r="B175" s="44"/>
      <c r="C175" s="31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</row>
    <row r="176">
      <c r="B176" s="44"/>
      <c r="C176" s="31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</row>
    <row r="177">
      <c r="B177" s="44"/>
      <c r="C177" s="31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</row>
    <row r="178">
      <c r="B178" s="44"/>
      <c r="C178" s="31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</row>
    <row r="179">
      <c r="B179" s="44"/>
      <c r="C179" s="31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</row>
    <row r="180">
      <c r="B180" s="44"/>
      <c r="C180" s="31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</row>
    <row r="181">
      <c r="B181" s="44"/>
      <c r="C181" s="31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2">
      <c r="B182" s="44"/>
      <c r="C182" s="31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</row>
    <row r="183">
      <c r="B183" s="44"/>
      <c r="C183" s="31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</row>
    <row r="184">
      <c r="B184" s="44"/>
      <c r="C184" s="31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</row>
    <row r="185">
      <c r="B185" s="44"/>
      <c r="C185" s="31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</row>
    <row r="186">
      <c r="B186" s="44"/>
      <c r="C186" s="31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</row>
    <row r="187">
      <c r="B187" s="44"/>
      <c r="C187" s="31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</row>
    <row r="188">
      <c r="B188" s="44"/>
      <c r="C188" s="31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</row>
    <row r="189">
      <c r="B189" s="44"/>
      <c r="C189" s="31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</row>
    <row r="190">
      <c r="B190" s="44"/>
      <c r="C190" s="31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</row>
    <row r="191">
      <c r="B191" s="44"/>
      <c r="C191" s="31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</row>
    <row r="192">
      <c r="B192" s="44"/>
      <c r="C192" s="31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</row>
    <row r="193">
      <c r="B193" s="44"/>
      <c r="C193" s="31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</row>
    <row r="194">
      <c r="B194" s="44"/>
      <c r="C194" s="31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</row>
    <row r="195">
      <c r="B195" s="44"/>
      <c r="C195" s="31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</row>
    <row r="196">
      <c r="B196" s="44"/>
      <c r="C196" s="31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</row>
    <row r="197">
      <c r="B197" s="44"/>
      <c r="C197" s="31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</row>
    <row r="198">
      <c r="B198" s="44"/>
      <c r="C198" s="31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</row>
    <row r="199">
      <c r="B199" s="44"/>
      <c r="C199" s="31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</row>
    <row r="200">
      <c r="B200" s="44"/>
      <c r="C200" s="31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</row>
    <row r="201">
      <c r="B201" s="44"/>
      <c r="C201" s="31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</row>
    <row r="202">
      <c r="B202" s="44"/>
      <c r="C202" s="31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</row>
    <row r="203">
      <c r="B203" s="44"/>
      <c r="C203" s="31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</row>
    <row r="204">
      <c r="B204" s="44"/>
      <c r="C204" s="31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</row>
    <row r="205">
      <c r="B205" s="44"/>
      <c r="C205" s="31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</row>
    <row r="206">
      <c r="B206" s="44"/>
      <c r="C206" s="31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</row>
    <row r="207">
      <c r="B207" s="44"/>
      <c r="C207" s="31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</row>
    <row r="208">
      <c r="B208" s="44"/>
      <c r="C208" s="31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</row>
    <row r="209">
      <c r="B209" s="44"/>
      <c r="C209" s="31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</row>
    <row r="210">
      <c r="B210" s="44"/>
      <c r="C210" s="31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</row>
    <row r="211">
      <c r="B211" s="44"/>
      <c r="C211" s="31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</row>
    <row r="212">
      <c r="B212" s="44"/>
      <c r="C212" s="31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</row>
    <row r="213">
      <c r="B213" s="44"/>
      <c r="C213" s="31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</row>
    <row r="214">
      <c r="B214" s="44"/>
      <c r="C214" s="31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</row>
    <row r="215">
      <c r="B215" s="44"/>
      <c r="C215" s="31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</row>
    <row r="216">
      <c r="B216" s="44"/>
      <c r="C216" s="31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</row>
    <row r="217">
      <c r="B217" s="44"/>
      <c r="C217" s="31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</row>
    <row r="218">
      <c r="B218" s="44"/>
      <c r="C218" s="31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</row>
    <row r="219">
      <c r="B219" s="44"/>
      <c r="C219" s="31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</row>
    <row r="220">
      <c r="B220" s="44"/>
      <c r="C220" s="31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1">
      <c r="B221" s="44"/>
      <c r="C221" s="31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</row>
    <row r="222">
      <c r="B222" s="44"/>
      <c r="C222" s="31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</row>
    <row r="223">
      <c r="B223" s="44"/>
      <c r="C223" s="31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</row>
    <row r="224">
      <c r="B224" s="44"/>
      <c r="C224" s="31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</row>
    <row r="225">
      <c r="B225" s="44"/>
      <c r="C225" s="31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</row>
    <row r="226">
      <c r="B226" s="44"/>
      <c r="C226" s="31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</row>
    <row r="227">
      <c r="B227" s="44"/>
      <c r="C227" s="31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</row>
    <row r="228">
      <c r="B228" s="44"/>
      <c r="C228" s="31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</row>
    <row r="229">
      <c r="B229" s="44"/>
      <c r="C229" s="31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</row>
    <row r="230">
      <c r="B230" s="44"/>
      <c r="C230" s="31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</row>
    <row r="231">
      <c r="B231" s="44"/>
      <c r="C231" s="31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</row>
    <row r="232">
      <c r="B232" s="44"/>
      <c r="C232" s="31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</row>
    <row r="233">
      <c r="B233" s="44"/>
      <c r="C233" s="31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</row>
    <row r="234">
      <c r="B234" s="44"/>
      <c r="C234" s="31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</row>
    <row r="235">
      <c r="B235" s="44"/>
      <c r="C235" s="31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</row>
    <row r="236">
      <c r="B236" s="44"/>
      <c r="C236" s="31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</row>
    <row r="237">
      <c r="B237" s="44"/>
      <c r="C237" s="31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</row>
    <row r="238">
      <c r="B238" s="44"/>
      <c r="C238" s="31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>
      <c r="B239" s="44"/>
      <c r="C239" s="31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>
      <c r="B240" s="44"/>
      <c r="C240" s="31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</row>
    <row r="241">
      <c r="B241" s="44"/>
      <c r="C241" s="31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</row>
    <row r="242">
      <c r="B242" s="44"/>
      <c r="C242" s="31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</row>
    <row r="243">
      <c r="B243" s="44"/>
      <c r="C243" s="31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</row>
    <row r="244">
      <c r="B244" s="44"/>
      <c r="C244" s="31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</row>
    <row r="245">
      <c r="B245" s="44"/>
      <c r="C245" s="31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</row>
    <row r="246">
      <c r="B246" s="44"/>
      <c r="C246" s="31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</row>
    <row r="247">
      <c r="B247" s="44"/>
      <c r="C247" s="31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</row>
    <row r="248">
      <c r="B248" s="44"/>
      <c r="C248" s="31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</row>
    <row r="249">
      <c r="B249" s="44"/>
      <c r="C249" s="31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</row>
    <row r="250">
      <c r="B250" s="44"/>
      <c r="C250" s="31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</row>
    <row r="251">
      <c r="B251" s="44"/>
      <c r="C251" s="31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</row>
    <row r="252">
      <c r="B252" s="44"/>
      <c r="C252" s="31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</row>
    <row r="253">
      <c r="B253" s="44"/>
      <c r="C253" s="31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</row>
    <row r="254">
      <c r="B254" s="44"/>
      <c r="C254" s="31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</row>
    <row r="255">
      <c r="B255" s="44"/>
      <c r="C255" s="31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</row>
    <row r="256">
      <c r="B256" s="44"/>
      <c r="C256" s="31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</row>
    <row r="257">
      <c r="B257" s="44"/>
      <c r="C257" s="31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</row>
    <row r="258">
      <c r="B258" s="44"/>
      <c r="C258" s="31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</row>
    <row r="259">
      <c r="B259" s="44"/>
      <c r="C259" s="31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</row>
    <row r="260">
      <c r="B260" s="44"/>
      <c r="C260" s="31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</row>
    <row r="261">
      <c r="B261" s="44"/>
      <c r="C261" s="31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</row>
    <row r="262">
      <c r="B262" s="44"/>
      <c r="C262" s="31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</row>
    <row r="263">
      <c r="B263" s="44"/>
      <c r="C263" s="31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</row>
    <row r="264">
      <c r="B264" s="44"/>
      <c r="C264" s="31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</row>
    <row r="265">
      <c r="B265" s="44"/>
      <c r="C265" s="31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</row>
    <row r="266">
      <c r="B266" s="44"/>
      <c r="C266" s="31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</row>
    <row r="267">
      <c r="B267" s="44"/>
      <c r="C267" s="31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</row>
    <row r="268">
      <c r="B268" s="44"/>
      <c r="C268" s="31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</row>
    <row r="269">
      <c r="B269" s="44"/>
      <c r="C269" s="31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</row>
    <row r="270">
      <c r="B270" s="44"/>
      <c r="C270" s="31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</row>
    <row r="271">
      <c r="B271" s="44"/>
      <c r="C271" s="31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</row>
    <row r="272">
      <c r="B272" s="44"/>
      <c r="C272" s="31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</row>
    <row r="273">
      <c r="B273" s="44"/>
      <c r="C273" s="31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</row>
    <row r="274">
      <c r="B274" s="44"/>
      <c r="C274" s="31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</row>
    <row r="275">
      <c r="B275" s="44"/>
      <c r="C275" s="31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</row>
    <row r="276">
      <c r="B276" s="44"/>
      <c r="C276" s="31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</row>
    <row r="277">
      <c r="B277" s="44"/>
      <c r="C277" s="31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</row>
    <row r="278">
      <c r="B278" s="44"/>
      <c r="C278" s="31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</row>
    <row r="279">
      <c r="B279" s="44"/>
      <c r="C279" s="31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</row>
    <row r="280">
      <c r="B280" s="44"/>
      <c r="C280" s="31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</row>
    <row r="281">
      <c r="B281" s="44"/>
      <c r="C281" s="31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</row>
    <row r="282">
      <c r="B282" s="44"/>
      <c r="C282" s="31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</row>
    <row r="283">
      <c r="B283" s="44"/>
      <c r="C283" s="31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</row>
    <row r="284">
      <c r="B284" s="44"/>
      <c r="C284" s="31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</row>
    <row r="285">
      <c r="B285" s="44"/>
      <c r="C285" s="31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</row>
    <row r="286">
      <c r="B286" s="44"/>
      <c r="C286" s="31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</row>
    <row r="287">
      <c r="B287" s="44"/>
      <c r="C287" s="31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</row>
    <row r="288">
      <c r="B288" s="44"/>
      <c r="C288" s="31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</row>
    <row r="289">
      <c r="B289" s="44"/>
      <c r="C289" s="31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</row>
    <row r="290">
      <c r="B290" s="44"/>
      <c r="C290" s="31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</row>
    <row r="291">
      <c r="B291" s="44"/>
      <c r="C291" s="31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</row>
    <row r="292">
      <c r="B292" s="44"/>
      <c r="C292" s="31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</row>
    <row r="293">
      <c r="B293" s="44"/>
      <c r="C293" s="31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</row>
    <row r="294">
      <c r="B294" s="44"/>
      <c r="C294" s="31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</row>
    <row r="295">
      <c r="B295" s="44"/>
      <c r="C295" s="31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</row>
    <row r="296">
      <c r="B296" s="44"/>
      <c r="C296" s="31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</row>
    <row r="297">
      <c r="B297" s="44"/>
      <c r="C297" s="31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</row>
    <row r="298">
      <c r="B298" s="44"/>
      <c r="C298" s="31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</row>
    <row r="299">
      <c r="B299" s="44"/>
      <c r="C299" s="31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</row>
    <row r="300">
      <c r="B300" s="44"/>
      <c r="C300" s="31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</row>
    <row r="301">
      <c r="B301" s="44"/>
      <c r="C301" s="31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</row>
    <row r="302">
      <c r="B302" s="44"/>
      <c r="C302" s="31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</row>
    <row r="303">
      <c r="B303" s="44"/>
      <c r="C303" s="31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</row>
    <row r="304">
      <c r="B304" s="44"/>
      <c r="C304" s="31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</row>
    <row r="305">
      <c r="B305" s="44"/>
      <c r="C305" s="31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</row>
    <row r="306">
      <c r="B306" s="44"/>
      <c r="C306" s="31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</row>
    <row r="307">
      <c r="B307" s="44"/>
      <c r="C307" s="31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</row>
    <row r="308">
      <c r="B308" s="44"/>
      <c r="C308" s="31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</row>
    <row r="309">
      <c r="B309" s="44"/>
      <c r="C309" s="31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</row>
    <row r="310">
      <c r="B310" s="44"/>
      <c r="C310" s="31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</row>
    <row r="311">
      <c r="B311" s="44"/>
      <c r="C311" s="31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</row>
    <row r="312">
      <c r="B312" s="44"/>
      <c r="C312" s="31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</row>
    <row r="313">
      <c r="B313" s="44"/>
      <c r="C313" s="31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</row>
    <row r="314">
      <c r="B314" s="44"/>
      <c r="C314" s="31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</row>
    <row r="315">
      <c r="B315" s="44"/>
      <c r="C315" s="31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</row>
    <row r="316">
      <c r="B316" s="44"/>
      <c r="C316" s="31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</row>
    <row r="317">
      <c r="B317" s="44"/>
      <c r="C317" s="31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</row>
    <row r="318">
      <c r="B318" s="44"/>
      <c r="C318" s="31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</row>
    <row r="319">
      <c r="B319" s="44"/>
      <c r="C319" s="31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</row>
    <row r="320">
      <c r="B320" s="44"/>
      <c r="C320" s="31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</row>
    <row r="321">
      <c r="B321" s="44"/>
      <c r="C321" s="31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</row>
    <row r="322">
      <c r="B322" s="44"/>
      <c r="C322" s="31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</row>
    <row r="323">
      <c r="B323" s="44"/>
      <c r="C323" s="31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</row>
    <row r="324">
      <c r="B324" s="44"/>
      <c r="C324" s="31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</row>
    <row r="325">
      <c r="B325" s="44"/>
      <c r="C325" s="31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</row>
    <row r="326">
      <c r="B326" s="44"/>
      <c r="C326" s="31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</row>
    <row r="327">
      <c r="B327" s="44"/>
      <c r="C327" s="31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</row>
    <row r="328">
      <c r="B328" s="44"/>
      <c r="C328" s="31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</row>
    <row r="329">
      <c r="B329" s="44"/>
      <c r="C329" s="31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</row>
    <row r="330">
      <c r="B330" s="44"/>
      <c r="C330" s="31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</row>
    <row r="331">
      <c r="B331" s="44"/>
      <c r="C331" s="31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</row>
    <row r="332">
      <c r="B332" s="44"/>
      <c r="C332" s="31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</row>
    <row r="333">
      <c r="B333" s="44"/>
      <c r="C333" s="31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</row>
    <row r="334">
      <c r="B334" s="44"/>
      <c r="C334" s="31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</row>
    <row r="335">
      <c r="B335" s="44"/>
      <c r="C335" s="31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</row>
    <row r="336">
      <c r="B336" s="44"/>
      <c r="C336" s="31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</row>
    <row r="337">
      <c r="B337" s="44"/>
      <c r="C337" s="31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</row>
    <row r="338">
      <c r="B338" s="44"/>
      <c r="C338" s="31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</row>
    <row r="339">
      <c r="B339" s="44"/>
      <c r="C339" s="31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</row>
    <row r="340">
      <c r="B340" s="44"/>
      <c r="C340" s="31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</row>
    <row r="341">
      <c r="B341" s="44"/>
      <c r="C341" s="31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</row>
    <row r="342">
      <c r="B342" s="44"/>
      <c r="C342" s="31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</row>
    <row r="343">
      <c r="B343" s="44"/>
      <c r="C343" s="31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</row>
    <row r="344">
      <c r="B344" s="44"/>
      <c r="C344" s="31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</row>
    <row r="345">
      <c r="B345" s="44"/>
      <c r="C345" s="31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</row>
    <row r="346">
      <c r="B346" s="44"/>
      <c r="C346" s="31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</row>
    <row r="347">
      <c r="B347" s="44"/>
      <c r="C347" s="31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</row>
    <row r="348">
      <c r="B348" s="44"/>
      <c r="C348" s="31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</row>
    <row r="349">
      <c r="B349" s="44"/>
      <c r="C349" s="31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</row>
    <row r="350">
      <c r="B350" s="44"/>
      <c r="C350" s="31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</row>
    <row r="351">
      <c r="B351" s="44"/>
      <c r="C351" s="31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</row>
    <row r="352">
      <c r="B352" s="44"/>
      <c r="C352" s="31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</row>
    <row r="353">
      <c r="B353" s="44"/>
      <c r="C353" s="31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</row>
    <row r="354">
      <c r="B354" s="44"/>
      <c r="C354" s="31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</row>
    <row r="355">
      <c r="B355" s="44"/>
      <c r="C355" s="31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</row>
    <row r="356">
      <c r="B356" s="44"/>
      <c r="C356" s="31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</row>
    <row r="357">
      <c r="B357" s="44"/>
      <c r="C357" s="31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</row>
    <row r="358">
      <c r="B358" s="44"/>
      <c r="C358" s="31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</row>
    <row r="359">
      <c r="B359" s="44"/>
      <c r="C359" s="31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</row>
    <row r="360">
      <c r="B360" s="44"/>
      <c r="C360" s="31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</row>
    <row r="361">
      <c r="B361" s="44"/>
      <c r="C361" s="31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</row>
    <row r="362">
      <c r="B362" s="44"/>
      <c r="C362" s="31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</row>
    <row r="363">
      <c r="B363" s="44"/>
      <c r="C363" s="31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</row>
    <row r="364">
      <c r="B364" s="44"/>
      <c r="C364" s="31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</row>
    <row r="365">
      <c r="B365" s="44"/>
      <c r="C365" s="31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</row>
    <row r="366">
      <c r="B366" s="44"/>
      <c r="C366" s="31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</row>
    <row r="367">
      <c r="B367" s="44"/>
      <c r="C367" s="31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</row>
    <row r="368">
      <c r="B368" s="44"/>
      <c r="C368" s="31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</row>
    <row r="369">
      <c r="B369" s="44"/>
      <c r="C369" s="31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</row>
    <row r="370">
      <c r="B370" s="44"/>
      <c r="C370" s="31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</row>
    <row r="371">
      <c r="B371" s="44"/>
      <c r="C371" s="31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</row>
    <row r="372">
      <c r="B372" s="44"/>
      <c r="C372" s="31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</row>
    <row r="373">
      <c r="B373" s="44"/>
      <c r="C373" s="31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</row>
    <row r="374">
      <c r="B374" s="44"/>
      <c r="C374" s="31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</row>
    <row r="375">
      <c r="B375" s="44"/>
      <c r="C375" s="31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</row>
    <row r="376">
      <c r="B376" s="44"/>
      <c r="C376" s="31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</row>
    <row r="377">
      <c r="B377" s="44"/>
      <c r="C377" s="31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</row>
    <row r="378">
      <c r="B378" s="44"/>
      <c r="C378" s="31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</row>
    <row r="379">
      <c r="B379" s="44"/>
      <c r="C379" s="31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</row>
    <row r="380">
      <c r="B380" s="44"/>
      <c r="C380" s="31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</row>
    <row r="381">
      <c r="B381" s="44"/>
      <c r="C381" s="31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</row>
    <row r="382">
      <c r="B382" s="44"/>
      <c r="C382" s="31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</row>
    <row r="383">
      <c r="B383" s="44"/>
      <c r="C383" s="31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</row>
    <row r="384">
      <c r="B384" s="44"/>
      <c r="C384" s="31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</row>
    <row r="385">
      <c r="B385" s="44"/>
      <c r="C385" s="31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</row>
    <row r="386">
      <c r="B386" s="44"/>
      <c r="C386" s="31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</row>
    <row r="387">
      <c r="B387" s="44"/>
      <c r="C387" s="31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</row>
    <row r="388">
      <c r="B388" s="44"/>
      <c r="C388" s="31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</row>
    <row r="389">
      <c r="B389" s="44"/>
      <c r="C389" s="31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</row>
    <row r="390">
      <c r="B390" s="44"/>
      <c r="C390" s="31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</row>
    <row r="391">
      <c r="B391" s="44"/>
      <c r="C391" s="31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</row>
    <row r="392">
      <c r="B392" s="44"/>
      <c r="C392" s="31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</row>
    <row r="393">
      <c r="B393" s="44"/>
      <c r="C393" s="31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</row>
    <row r="394">
      <c r="B394" s="44"/>
      <c r="C394" s="31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</row>
    <row r="395">
      <c r="B395" s="44"/>
      <c r="C395" s="31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</row>
    <row r="396">
      <c r="B396" s="44"/>
      <c r="C396" s="31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</row>
    <row r="397">
      <c r="B397" s="44"/>
      <c r="C397" s="31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</row>
    <row r="398">
      <c r="B398" s="44"/>
      <c r="C398" s="31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</row>
    <row r="399">
      <c r="B399" s="44"/>
      <c r="C399" s="31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</row>
    <row r="400">
      <c r="B400" s="44"/>
      <c r="C400" s="31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</row>
    <row r="401">
      <c r="B401" s="44"/>
      <c r="C401" s="31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</row>
    <row r="402">
      <c r="B402" s="44"/>
      <c r="C402" s="31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</row>
    <row r="403">
      <c r="B403" s="44"/>
      <c r="C403" s="31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</row>
    <row r="404">
      <c r="B404" s="44"/>
      <c r="C404" s="31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</row>
    <row r="405">
      <c r="B405" s="44"/>
      <c r="C405" s="31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</row>
    <row r="406">
      <c r="B406" s="44"/>
      <c r="C406" s="31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</row>
    <row r="407">
      <c r="B407" s="44"/>
      <c r="C407" s="31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</row>
    <row r="408">
      <c r="B408" s="44"/>
      <c r="C408" s="31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</row>
    <row r="409">
      <c r="B409" s="44"/>
      <c r="C409" s="31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</row>
    <row r="410">
      <c r="B410" s="44"/>
      <c r="C410" s="31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</row>
    <row r="411">
      <c r="B411" s="44"/>
      <c r="C411" s="31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</row>
    <row r="412">
      <c r="B412" s="44"/>
      <c r="C412" s="31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</row>
    <row r="413">
      <c r="B413" s="44"/>
      <c r="C413" s="31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</row>
    <row r="414">
      <c r="B414" s="44"/>
      <c r="C414" s="31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</row>
    <row r="415">
      <c r="B415" s="44"/>
      <c r="C415" s="31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</row>
    <row r="416">
      <c r="B416" s="44"/>
      <c r="C416" s="31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</row>
    <row r="417">
      <c r="B417" s="44"/>
      <c r="C417" s="31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</row>
    <row r="418">
      <c r="B418" s="44"/>
      <c r="C418" s="31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</row>
    <row r="419">
      <c r="B419" s="44"/>
      <c r="C419" s="31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</row>
    <row r="420">
      <c r="B420" s="44"/>
      <c r="C420" s="31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</row>
    <row r="421">
      <c r="B421" s="44"/>
      <c r="C421" s="31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</row>
    <row r="422">
      <c r="B422" s="44"/>
      <c r="C422" s="31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</row>
    <row r="423">
      <c r="B423" s="44"/>
      <c r="C423" s="31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</row>
    <row r="424">
      <c r="B424" s="44"/>
      <c r="C424" s="31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</row>
    <row r="425">
      <c r="B425" s="44"/>
      <c r="C425" s="31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</row>
    <row r="426">
      <c r="B426" s="44"/>
      <c r="C426" s="31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</row>
    <row r="427">
      <c r="B427" s="44"/>
      <c r="C427" s="31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</row>
    <row r="428">
      <c r="B428" s="44"/>
      <c r="C428" s="31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</row>
    <row r="429">
      <c r="B429" s="44"/>
      <c r="C429" s="31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</row>
    <row r="430">
      <c r="B430" s="44"/>
      <c r="C430" s="31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</row>
    <row r="431">
      <c r="B431" s="44"/>
      <c r="C431" s="31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</row>
    <row r="432">
      <c r="B432" s="44"/>
      <c r="C432" s="31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</row>
    <row r="433">
      <c r="B433" s="44"/>
      <c r="C433" s="31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</row>
    <row r="434">
      <c r="B434" s="44"/>
      <c r="C434" s="31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</row>
    <row r="435">
      <c r="B435" s="44"/>
      <c r="C435" s="31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</row>
    <row r="436">
      <c r="B436" s="44"/>
      <c r="C436" s="31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</row>
    <row r="437">
      <c r="B437" s="44"/>
      <c r="C437" s="31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</row>
    <row r="438">
      <c r="B438" s="44"/>
      <c r="C438" s="31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</row>
    <row r="439">
      <c r="B439" s="44"/>
      <c r="C439" s="31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</row>
    <row r="440">
      <c r="B440" s="44"/>
      <c r="C440" s="31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</row>
    <row r="441">
      <c r="B441" s="44"/>
      <c r="C441" s="31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</row>
    <row r="442">
      <c r="B442" s="44"/>
      <c r="C442" s="31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</row>
    <row r="443">
      <c r="B443" s="44"/>
      <c r="C443" s="31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</row>
    <row r="444">
      <c r="B444" s="44"/>
      <c r="C444" s="31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</row>
    <row r="445">
      <c r="B445" s="44"/>
      <c r="C445" s="31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</row>
    <row r="446">
      <c r="B446" s="44"/>
      <c r="C446" s="31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</row>
    <row r="447">
      <c r="B447" s="44"/>
      <c r="C447" s="31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</row>
    <row r="448">
      <c r="B448" s="44"/>
      <c r="C448" s="31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</row>
    <row r="449">
      <c r="B449" s="44"/>
      <c r="C449" s="31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</row>
    <row r="450">
      <c r="B450" s="44"/>
      <c r="C450" s="31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</row>
    <row r="451">
      <c r="B451" s="44"/>
      <c r="C451" s="31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</row>
    <row r="452">
      <c r="B452" s="44"/>
      <c r="C452" s="31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</row>
    <row r="453">
      <c r="B453" s="44"/>
      <c r="C453" s="31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</row>
    <row r="454">
      <c r="B454" s="44"/>
      <c r="C454" s="31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</row>
    <row r="455">
      <c r="B455" s="44"/>
      <c r="C455" s="31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</row>
    <row r="456">
      <c r="B456" s="44"/>
      <c r="C456" s="31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</row>
    <row r="457">
      <c r="B457" s="44"/>
      <c r="C457" s="31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</row>
    <row r="458">
      <c r="B458" s="44"/>
      <c r="C458" s="31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</row>
    <row r="459">
      <c r="B459" s="44"/>
      <c r="C459" s="31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</row>
    <row r="460">
      <c r="B460" s="44"/>
      <c r="C460" s="31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</row>
    <row r="461">
      <c r="B461" s="44"/>
      <c r="C461" s="31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</row>
    <row r="462">
      <c r="B462" s="44"/>
      <c r="C462" s="31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</row>
    <row r="463">
      <c r="B463" s="44"/>
      <c r="C463" s="31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</row>
    <row r="464">
      <c r="B464" s="44"/>
      <c r="C464" s="31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</row>
    <row r="465">
      <c r="B465" s="44"/>
      <c r="C465" s="31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</row>
    <row r="466">
      <c r="B466" s="44"/>
      <c r="C466" s="31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</row>
    <row r="467">
      <c r="B467" s="44"/>
      <c r="C467" s="31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</row>
    <row r="468">
      <c r="B468" s="44"/>
      <c r="C468" s="31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</row>
    <row r="469">
      <c r="B469" s="44"/>
      <c r="C469" s="31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</row>
    <row r="470">
      <c r="B470" s="44"/>
      <c r="C470" s="31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</row>
    <row r="471">
      <c r="B471" s="44"/>
      <c r="C471" s="31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</row>
    <row r="472">
      <c r="B472" s="44"/>
      <c r="C472" s="31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</row>
    <row r="473">
      <c r="B473" s="44"/>
      <c r="C473" s="31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</row>
    <row r="474">
      <c r="B474" s="44"/>
      <c r="C474" s="31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</row>
    <row r="475">
      <c r="B475" s="44"/>
      <c r="C475" s="31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</row>
    <row r="476">
      <c r="B476" s="44"/>
      <c r="C476" s="31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</row>
    <row r="477">
      <c r="B477" s="44"/>
      <c r="C477" s="31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</row>
    <row r="478">
      <c r="B478" s="44"/>
      <c r="C478" s="31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</row>
    <row r="479">
      <c r="B479" s="44"/>
      <c r="C479" s="31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</row>
    <row r="480">
      <c r="B480" s="44"/>
      <c r="C480" s="31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</row>
    <row r="481">
      <c r="B481" s="44"/>
      <c r="C481" s="31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</row>
    <row r="482">
      <c r="B482" s="44"/>
      <c r="C482" s="31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</row>
    <row r="483">
      <c r="B483" s="44"/>
      <c r="C483" s="31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</row>
    <row r="484">
      <c r="B484" s="44"/>
      <c r="C484" s="31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</row>
    <row r="485">
      <c r="B485" s="44"/>
      <c r="C485" s="31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</row>
    <row r="486">
      <c r="B486" s="44"/>
      <c r="C486" s="31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</row>
    <row r="487">
      <c r="B487" s="44"/>
      <c r="C487" s="31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</row>
    <row r="488">
      <c r="B488" s="44"/>
      <c r="C488" s="31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</row>
    <row r="489">
      <c r="B489" s="44"/>
      <c r="C489" s="31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</row>
    <row r="490">
      <c r="B490" s="44"/>
      <c r="C490" s="31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</row>
    <row r="491">
      <c r="B491" s="44"/>
      <c r="C491" s="31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</row>
    <row r="492">
      <c r="B492" s="44"/>
      <c r="C492" s="31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</row>
    <row r="493">
      <c r="B493" s="44"/>
      <c r="C493" s="31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</row>
    <row r="494">
      <c r="B494" s="44"/>
      <c r="C494" s="31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</row>
    <row r="495">
      <c r="B495" s="44"/>
      <c r="C495" s="31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</row>
    <row r="496">
      <c r="B496" s="44"/>
      <c r="C496" s="31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</row>
    <row r="497">
      <c r="B497" s="44"/>
      <c r="C497" s="31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</row>
    <row r="498">
      <c r="B498" s="44"/>
      <c r="C498" s="31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</row>
    <row r="499">
      <c r="B499" s="44"/>
      <c r="C499" s="31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</row>
    <row r="500">
      <c r="B500" s="44"/>
      <c r="C500" s="31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</row>
    <row r="501">
      <c r="B501" s="44"/>
      <c r="C501" s="31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</row>
    <row r="502">
      <c r="B502" s="44"/>
      <c r="C502" s="31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</row>
    <row r="503">
      <c r="B503" s="44"/>
      <c r="C503" s="31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</row>
    <row r="504">
      <c r="B504" s="44"/>
      <c r="C504" s="31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</row>
    <row r="505">
      <c r="B505" s="44"/>
      <c r="C505" s="31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</row>
    <row r="506">
      <c r="B506" s="44"/>
      <c r="C506" s="31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</row>
    <row r="507">
      <c r="B507" s="44"/>
      <c r="C507" s="31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</row>
    <row r="508">
      <c r="B508" s="44"/>
      <c r="C508" s="31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</row>
    <row r="509">
      <c r="B509" s="44"/>
      <c r="C509" s="31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</row>
    <row r="510">
      <c r="B510" s="44"/>
      <c r="C510" s="31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</row>
    <row r="511">
      <c r="B511" s="44"/>
      <c r="C511" s="31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</row>
    <row r="512">
      <c r="B512" s="44"/>
      <c r="C512" s="31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</row>
    <row r="513">
      <c r="B513" s="44"/>
      <c r="C513" s="31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</row>
    <row r="514">
      <c r="B514" s="44"/>
      <c r="C514" s="31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</row>
    <row r="515">
      <c r="B515" s="44"/>
      <c r="C515" s="31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</row>
    <row r="516">
      <c r="B516" s="44"/>
      <c r="C516" s="31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</row>
    <row r="517">
      <c r="B517" s="44"/>
      <c r="C517" s="31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</row>
    <row r="518">
      <c r="B518" s="44"/>
      <c r="C518" s="31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</row>
    <row r="519">
      <c r="B519" s="44"/>
      <c r="C519" s="31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</row>
    <row r="520">
      <c r="B520" s="44"/>
      <c r="C520" s="31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</row>
    <row r="521">
      <c r="B521" s="44"/>
      <c r="C521" s="31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</row>
    <row r="522">
      <c r="B522" s="44"/>
      <c r="C522" s="31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</row>
    <row r="523">
      <c r="B523" s="44"/>
      <c r="C523" s="31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</row>
    <row r="524">
      <c r="B524" s="44"/>
      <c r="C524" s="31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</row>
    <row r="525">
      <c r="B525" s="44"/>
      <c r="C525" s="31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</row>
    <row r="526">
      <c r="B526" s="44"/>
      <c r="C526" s="31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</row>
    <row r="527">
      <c r="B527" s="44"/>
      <c r="C527" s="31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</row>
    <row r="528">
      <c r="B528" s="44"/>
      <c r="C528" s="31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</row>
    <row r="529">
      <c r="B529" s="44"/>
      <c r="C529" s="31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</row>
    <row r="530">
      <c r="B530" s="44"/>
      <c r="C530" s="31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</row>
    <row r="531">
      <c r="B531" s="44"/>
      <c r="C531" s="31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</row>
    <row r="532">
      <c r="B532" s="44"/>
      <c r="C532" s="31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</row>
    <row r="533">
      <c r="B533" s="44"/>
      <c r="C533" s="31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</row>
    <row r="534">
      <c r="B534" s="44"/>
      <c r="C534" s="31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</row>
    <row r="535">
      <c r="B535" s="44"/>
      <c r="C535" s="31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</row>
    <row r="536">
      <c r="B536" s="44"/>
      <c r="C536" s="31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</row>
    <row r="537">
      <c r="B537" s="44"/>
      <c r="C537" s="31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</row>
    <row r="538">
      <c r="B538" s="44"/>
      <c r="C538" s="31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</row>
    <row r="539">
      <c r="B539" s="44"/>
      <c r="C539" s="31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</row>
    <row r="540">
      <c r="B540" s="44"/>
      <c r="C540" s="31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</row>
    <row r="541">
      <c r="B541" s="44"/>
      <c r="C541" s="31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</row>
    <row r="542">
      <c r="B542" s="44"/>
      <c r="C542" s="31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</row>
    <row r="543">
      <c r="B543" s="44"/>
      <c r="C543" s="31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</row>
    <row r="544">
      <c r="B544" s="44"/>
      <c r="C544" s="31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</row>
    <row r="545">
      <c r="B545" s="44"/>
      <c r="C545" s="31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</row>
    <row r="546">
      <c r="B546" s="44"/>
      <c r="C546" s="31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</row>
    <row r="547">
      <c r="B547" s="44"/>
      <c r="C547" s="31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</row>
    <row r="548">
      <c r="B548" s="44"/>
      <c r="C548" s="31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</row>
    <row r="549">
      <c r="B549" s="44"/>
      <c r="C549" s="31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</row>
    <row r="550">
      <c r="B550" s="44"/>
      <c r="C550" s="31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</row>
    <row r="551">
      <c r="B551" s="44"/>
      <c r="C551" s="31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</row>
    <row r="552">
      <c r="B552" s="44"/>
      <c r="C552" s="31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</row>
    <row r="553">
      <c r="B553" s="44"/>
      <c r="C553" s="31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</row>
    <row r="554">
      <c r="B554" s="44"/>
      <c r="C554" s="31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</row>
    <row r="555">
      <c r="B555" s="44"/>
      <c r="C555" s="31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</row>
    <row r="556">
      <c r="B556" s="44"/>
      <c r="C556" s="31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</row>
    <row r="557">
      <c r="B557" s="44"/>
      <c r="C557" s="31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</row>
    <row r="558">
      <c r="B558" s="44"/>
      <c r="C558" s="31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</row>
    <row r="559">
      <c r="B559" s="44"/>
      <c r="C559" s="31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</row>
    <row r="560">
      <c r="B560" s="44"/>
      <c r="C560" s="31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</row>
    <row r="561">
      <c r="B561" s="44"/>
      <c r="C561" s="31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</row>
    <row r="562">
      <c r="B562" s="44"/>
      <c r="C562" s="31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</row>
    <row r="563">
      <c r="B563" s="44"/>
      <c r="C563" s="31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</row>
    <row r="564">
      <c r="B564" s="44"/>
      <c r="C564" s="31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</row>
    <row r="565">
      <c r="B565" s="44"/>
      <c r="C565" s="31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</row>
    <row r="566">
      <c r="B566" s="44"/>
      <c r="C566" s="31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</row>
    <row r="567">
      <c r="B567" s="44"/>
      <c r="C567" s="31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</row>
    <row r="568">
      <c r="B568" s="44"/>
      <c r="C568" s="31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</row>
    <row r="569">
      <c r="B569" s="44"/>
      <c r="C569" s="31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</row>
    <row r="570">
      <c r="B570" s="44"/>
      <c r="C570" s="31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</row>
    <row r="571">
      <c r="B571" s="44"/>
      <c r="C571" s="31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</row>
    <row r="572">
      <c r="B572" s="44"/>
      <c r="C572" s="31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</row>
    <row r="573">
      <c r="B573" s="44"/>
      <c r="C573" s="31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</row>
    <row r="574">
      <c r="B574" s="44"/>
      <c r="C574" s="31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</row>
    <row r="575">
      <c r="B575" s="44"/>
      <c r="C575" s="31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</row>
    <row r="576">
      <c r="B576" s="44"/>
      <c r="C576" s="31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</row>
    <row r="577">
      <c r="B577" s="44"/>
      <c r="C577" s="31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</row>
    <row r="578">
      <c r="B578" s="44"/>
      <c r="C578" s="31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</row>
    <row r="579">
      <c r="B579" s="44"/>
      <c r="C579" s="31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</row>
    <row r="580">
      <c r="B580" s="44"/>
      <c r="C580" s="31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</row>
    <row r="581">
      <c r="B581" s="44"/>
      <c r="C581" s="31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</row>
    <row r="582">
      <c r="B582" s="44"/>
      <c r="C582" s="31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</row>
    <row r="583">
      <c r="B583" s="44"/>
      <c r="C583" s="31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</row>
    <row r="584">
      <c r="B584" s="44"/>
      <c r="C584" s="31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</row>
    <row r="585">
      <c r="B585" s="44"/>
      <c r="C585" s="31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</row>
    <row r="586">
      <c r="B586" s="44"/>
      <c r="C586" s="31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</row>
    <row r="587">
      <c r="B587" s="44"/>
      <c r="C587" s="31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</row>
    <row r="588">
      <c r="B588" s="44"/>
      <c r="C588" s="31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</row>
    <row r="589">
      <c r="B589" s="44"/>
      <c r="C589" s="31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</row>
    <row r="590">
      <c r="B590" s="44"/>
      <c r="C590" s="31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</row>
    <row r="591">
      <c r="B591" s="44"/>
      <c r="C591" s="31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</row>
    <row r="592">
      <c r="B592" s="44"/>
      <c r="C592" s="31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</row>
    <row r="593">
      <c r="B593" s="44"/>
      <c r="C593" s="31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</row>
    <row r="594">
      <c r="B594" s="44"/>
      <c r="C594" s="31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</row>
    <row r="595">
      <c r="B595" s="44"/>
      <c r="C595" s="31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</row>
    <row r="596">
      <c r="B596" s="44"/>
      <c r="C596" s="31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</row>
    <row r="597">
      <c r="B597" s="44"/>
      <c r="C597" s="31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</row>
    <row r="598">
      <c r="B598" s="44"/>
      <c r="C598" s="31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</row>
    <row r="599">
      <c r="B599" s="44"/>
      <c r="C599" s="31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</row>
    <row r="600">
      <c r="B600" s="44"/>
      <c r="C600" s="31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</row>
    <row r="601">
      <c r="B601" s="44"/>
      <c r="C601" s="31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</row>
    <row r="602">
      <c r="B602" s="44"/>
      <c r="C602" s="31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</row>
    <row r="603">
      <c r="B603" s="44"/>
      <c r="C603" s="31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</row>
    <row r="604">
      <c r="B604" s="44"/>
      <c r="C604" s="31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</row>
    <row r="605">
      <c r="B605" s="44"/>
      <c r="C605" s="31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</row>
    <row r="606">
      <c r="B606" s="44"/>
      <c r="C606" s="31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</row>
    <row r="607">
      <c r="B607" s="44"/>
      <c r="C607" s="31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</row>
    <row r="608">
      <c r="B608" s="44"/>
      <c r="C608" s="31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</row>
    <row r="609">
      <c r="B609" s="44"/>
      <c r="C609" s="31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</row>
    <row r="610">
      <c r="B610" s="44"/>
      <c r="C610" s="31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</row>
    <row r="611">
      <c r="B611" s="44"/>
      <c r="C611" s="31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</row>
    <row r="612">
      <c r="B612" s="44"/>
      <c r="C612" s="31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</row>
    <row r="613">
      <c r="B613" s="44"/>
      <c r="C613" s="31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</row>
    <row r="614">
      <c r="B614" s="44"/>
      <c r="C614" s="31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</row>
    <row r="615">
      <c r="B615" s="44"/>
      <c r="C615" s="31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</row>
    <row r="616">
      <c r="B616" s="44"/>
      <c r="C616" s="31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</row>
    <row r="617">
      <c r="B617" s="44"/>
      <c r="C617" s="31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</row>
    <row r="618">
      <c r="B618" s="44"/>
      <c r="C618" s="31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</row>
    <row r="619">
      <c r="B619" s="44"/>
      <c r="C619" s="31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</row>
    <row r="620">
      <c r="B620" s="44"/>
      <c r="C620" s="31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</row>
    <row r="621">
      <c r="B621" s="44"/>
      <c r="C621" s="31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</row>
    <row r="622">
      <c r="B622" s="44"/>
      <c r="C622" s="31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</row>
    <row r="623">
      <c r="B623" s="44"/>
      <c r="C623" s="31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</row>
    <row r="624">
      <c r="B624" s="44"/>
      <c r="C624" s="31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</row>
    <row r="625">
      <c r="B625" s="44"/>
      <c r="C625" s="31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</row>
    <row r="626">
      <c r="B626" s="44"/>
      <c r="C626" s="31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</row>
    <row r="627">
      <c r="B627" s="44"/>
      <c r="C627" s="31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</row>
    <row r="628">
      <c r="B628" s="44"/>
      <c r="C628" s="31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</row>
    <row r="629">
      <c r="B629" s="44"/>
      <c r="C629" s="31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</row>
    <row r="630">
      <c r="B630" s="44"/>
      <c r="C630" s="31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</row>
    <row r="631">
      <c r="B631" s="44"/>
      <c r="C631" s="31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</row>
    <row r="632">
      <c r="B632" s="44"/>
      <c r="C632" s="31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</row>
    <row r="633">
      <c r="B633" s="44"/>
      <c r="C633" s="31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</row>
    <row r="634">
      <c r="B634" s="44"/>
      <c r="C634" s="31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</row>
    <row r="635">
      <c r="B635" s="44"/>
      <c r="C635" s="31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</row>
    <row r="636">
      <c r="B636" s="44"/>
      <c r="C636" s="31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</row>
    <row r="637">
      <c r="B637" s="44"/>
      <c r="C637" s="31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</row>
    <row r="638">
      <c r="B638" s="44"/>
      <c r="C638" s="31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</row>
    <row r="639">
      <c r="B639" s="44"/>
      <c r="C639" s="31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</row>
    <row r="640">
      <c r="B640" s="44"/>
      <c r="C640" s="31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</row>
    <row r="641">
      <c r="B641" s="44"/>
      <c r="C641" s="31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</row>
    <row r="642">
      <c r="B642" s="44"/>
      <c r="C642" s="31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</row>
    <row r="643">
      <c r="B643" s="44"/>
      <c r="C643" s="31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</row>
    <row r="644">
      <c r="B644" s="44"/>
      <c r="C644" s="31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</row>
    <row r="645">
      <c r="B645" s="44"/>
      <c r="C645" s="31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</row>
    <row r="646">
      <c r="B646" s="44"/>
      <c r="C646" s="31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</row>
    <row r="647">
      <c r="B647" s="44"/>
      <c r="C647" s="31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</row>
    <row r="648">
      <c r="B648" s="44"/>
      <c r="C648" s="31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</row>
    <row r="649">
      <c r="B649" s="44"/>
      <c r="C649" s="31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</row>
    <row r="650">
      <c r="B650" s="44"/>
      <c r="C650" s="31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</row>
    <row r="651">
      <c r="B651" s="44"/>
      <c r="C651" s="31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</row>
    <row r="652">
      <c r="B652" s="44"/>
      <c r="C652" s="31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</row>
    <row r="653">
      <c r="B653" s="44"/>
      <c r="C653" s="31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</row>
    <row r="654">
      <c r="B654" s="44"/>
      <c r="C654" s="31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</row>
    <row r="655">
      <c r="B655" s="44"/>
      <c r="C655" s="31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</row>
    <row r="656">
      <c r="B656" s="44"/>
      <c r="C656" s="31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</row>
    <row r="657">
      <c r="B657" s="44"/>
      <c r="C657" s="31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</row>
    <row r="658">
      <c r="B658" s="44"/>
      <c r="C658" s="31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</row>
    <row r="659">
      <c r="B659" s="44"/>
      <c r="C659" s="31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</row>
    <row r="660">
      <c r="B660" s="44"/>
      <c r="C660" s="31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</row>
    <row r="661">
      <c r="B661" s="44"/>
      <c r="C661" s="31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</row>
    <row r="662">
      <c r="B662" s="44"/>
      <c r="C662" s="31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</row>
    <row r="663">
      <c r="B663" s="44"/>
      <c r="C663" s="31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</row>
    <row r="664">
      <c r="B664" s="44"/>
      <c r="C664" s="31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</row>
    <row r="665">
      <c r="B665" s="44"/>
      <c r="C665" s="31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</row>
    <row r="666">
      <c r="B666" s="44"/>
      <c r="C666" s="31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</row>
    <row r="667">
      <c r="B667" s="44"/>
      <c r="C667" s="31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</row>
    <row r="668">
      <c r="B668" s="44"/>
      <c r="C668" s="31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</row>
    <row r="669">
      <c r="B669" s="44"/>
      <c r="C669" s="31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</row>
    <row r="670">
      <c r="B670" s="44"/>
      <c r="C670" s="31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</row>
    <row r="671">
      <c r="B671" s="44"/>
      <c r="C671" s="31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</row>
    <row r="672">
      <c r="B672" s="44"/>
      <c r="C672" s="31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</row>
    <row r="673">
      <c r="B673" s="44"/>
      <c r="C673" s="31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</row>
    <row r="674">
      <c r="B674" s="44"/>
      <c r="C674" s="31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</row>
    <row r="675">
      <c r="B675" s="44"/>
      <c r="C675" s="31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</row>
    <row r="676">
      <c r="B676" s="44"/>
      <c r="C676" s="31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</row>
    <row r="677">
      <c r="B677" s="44"/>
      <c r="C677" s="31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</row>
    <row r="678">
      <c r="B678" s="44"/>
      <c r="C678" s="31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</row>
    <row r="679">
      <c r="B679" s="44"/>
      <c r="C679" s="31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</row>
    <row r="680">
      <c r="B680" s="44"/>
      <c r="C680" s="31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</row>
    <row r="681">
      <c r="B681" s="44"/>
      <c r="C681" s="31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</row>
    <row r="682">
      <c r="B682" s="44"/>
      <c r="C682" s="31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</row>
    <row r="683">
      <c r="B683" s="44"/>
      <c r="C683" s="31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</row>
    <row r="684">
      <c r="B684" s="44"/>
      <c r="C684" s="31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</row>
    <row r="685">
      <c r="B685" s="44"/>
      <c r="C685" s="31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</row>
    <row r="686">
      <c r="B686" s="44"/>
      <c r="C686" s="31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</row>
    <row r="687">
      <c r="B687" s="44"/>
      <c r="C687" s="31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</row>
    <row r="688">
      <c r="B688" s="44"/>
      <c r="C688" s="31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</row>
    <row r="689">
      <c r="B689" s="44"/>
      <c r="C689" s="31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</row>
    <row r="690">
      <c r="B690" s="44"/>
      <c r="C690" s="31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</row>
    <row r="691">
      <c r="B691" s="44"/>
      <c r="C691" s="31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</row>
    <row r="692">
      <c r="B692" s="44"/>
      <c r="C692" s="31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</row>
    <row r="693">
      <c r="B693" s="44"/>
      <c r="C693" s="31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</row>
    <row r="694">
      <c r="B694" s="44"/>
      <c r="C694" s="31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</row>
    <row r="695">
      <c r="B695" s="44"/>
      <c r="C695" s="31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</row>
    <row r="696">
      <c r="B696" s="44"/>
      <c r="C696" s="31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</row>
    <row r="697">
      <c r="B697" s="44"/>
      <c r="C697" s="31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</row>
    <row r="698">
      <c r="B698" s="44"/>
      <c r="C698" s="31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</row>
    <row r="699">
      <c r="B699" s="44"/>
      <c r="C699" s="31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</row>
    <row r="700">
      <c r="B700" s="44"/>
      <c r="C700" s="31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</row>
    <row r="701">
      <c r="B701" s="44"/>
      <c r="C701" s="31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</row>
    <row r="702">
      <c r="B702" s="44"/>
      <c r="C702" s="31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</row>
    <row r="703">
      <c r="B703" s="44"/>
      <c r="C703" s="31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</row>
    <row r="704">
      <c r="B704" s="44"/>
      <c r="C704" s="31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</row>
    <row r="705">
      <c r="B705" s="44"/>
      <c r="C705" s="31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</row>
    <row r="706">
      <c r="B706" s="44"/>
      <c r="C706" s="31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</row>
    <row r="707">
      <c r="B707" s="44"/>
      <c r="C707" s="31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</row>
    <row r="708">
      <c r="B708" s="44"/>
      <c r="C708" s="31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</row>
    <row r="709">
      <c r="B709" s="44"/>
      <c r="C709" s="31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</row>
    <row r="710">
      <c r="B710" s="44"/>
      <c r="C710" s="31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</row>
    <row r="711">
      <c r="B711" s="44"/>
      <c r="C711" s="31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</row>
    <row r="712">
      <c r="B712" s="44"/>
      <c r="C712" s="31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</row>
    <row r="713">
      <c r="B713" s="44"/>
      <c r="C713" s="31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</row>
    <row r="714">
      <c r="B714" s="44"/>
      <c r="C714" s="31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</row>
    <row r="715">
      <c r="B715" s="44"/>
      <c r="C715" s="31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</row>
    <row r="716">
      <c r="B716" s="44"/>
      <c r="C716" s="31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</row>
    <row r="717">
      <c r="B717" s="44"/>
      <c r="C717" s="31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</row>
    <row r="718">
      <c r="B718" s="44"/>
      <c r="C718" s="31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</row>
    <row r="719">
      <c r="B719" s="44"/>
      <c r="C719" s="31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</row>
    <row r="720">
      <c r="B720" s="44"/>
      <c r="C720" s="31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</row>
    <row r="721">
      <c r="B721" s="44"/>
      <c r="C721" s="31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</row>
    <row r="722">
      <c r="B722" s="44"/>
      <c r="C722" s="31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</row>
    <row r="723">
      <c r="B723" s="44"/>
      <c r="C723" s="31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</row>
    <row r="724">
      <c r="B724" s="44"/>
      <c r="C724" s="31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</row>
    <row r="725">
      <c r="B725" s="44"/>
      <c r="C725" s="31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</row>
    <row r="726">
      <c r="B726" s="44"/>
      <c r="C726" s="31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</row>
    <row r="727">
      <c r="B727" s="44"/>
      <c r="C727" s="31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</row>
    <row r="728">
      <c r="B728" s="44"/>
      <c r="C728" s="31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</row>
    <row r="729">
      <c r="B729" s="44"/>
      <c r="C729" s="31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</row>
    <row r="730">
      <c r="B730" s="44"/>
      <c r="C730" s="31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</row>
    <row r="731">
      <c r="B731" s="44"/>
      <c r="C731" s="31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</row>
    <row r="732">
      <c r="B732" s="44"/>
      <c r="C732" s="31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</row>
    <row r="733">
      <c r="B733" s="44"/>
      <c r="C733" s="31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</row>
    <row r="734">
      <c r="B734" s="44"/>
      <c r="C734" s="31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</row>
    <row r="735">
      <c r="B735" s="44"/>
      <c r="C735" s="31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</row>
    <row r="736">
      <c r="B736" s="44"/>
      <c r="C736" s="31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</row>
    <row r="737">
      <c r="B737" s="44"/>
      <c r="C737" s="31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</row>
    <row r="738">
      <c r="B738" s="44"/>
      <c r="C738" s="31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</row>
    <row r="739">
      <c r="B739" s="44"/>
      <c r="C739" s="31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</row>
    <row r="740">
      <c r="B740" s="44"/>
      <c r="C740" s="31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</row>
    <row r="741">
      <c r="B741" s="44"/>
      <c r="C741" s="31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</row>
    <row r="742">
      <c r="B742" s="44"/>
      <c r="C742" s="31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</row>
    <row r="743">
      <c r="B743" s="44"/>
      <c r="C743" s="31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</row>
    <row r="744">
      <c r="B744" s="44"/>
      <c r="C744" s="31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</row>
    <row r="745">
      <c r="B745" s="44"/>
      <c r="C745" s="31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</row>
    <row r="746">
      <c r="B746" s="44"/>
      <c r="C746" s="31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</row>
    <row r="747">
      <c r="B747" s="44"/>
      <c r="C747" s="31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</row>
    <row r="748">
      <c r="B748" s="44"/>
      <c r="C748" s="31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</row>
    <row r="749">
      <c r="B749" s="44"/>
      <c r="C749" s="31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</row>
    <row r="750">
      <c r="B750" s="44"/>
      <c r="C750" s="31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</row>
    <row r="751">
      <c r="B751" s="44"/>
      <c r="C751" s="31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</row>
    <row r="752">
      <c r="B752" s="44"/>
      <c r="C752" s="31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</row>
    <row r="753">
      <c r="B753" s="44"/>
      <c r="C753" s="31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</row>
    <row r="754">
      <c r="B754" s="44"/>
      <c r="C754" s="31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</row>
    <row r="755">
      <c r="B755" s="44"/>
      <c r="C755" s="31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</row>
    <row r="756">
      <c r="B756" s="44"/>
      <c r="C756" s="31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</row>
    <row r="757">
      <c r="B757" s="44"/>
      <c r="C757" s="31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</row>
    <row r="758">
      <c r="B758" s="44"/>
      <c r="C758" s="31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</row>
    <row r="759">
      <c r="B759" s="44"/>
      <c r="C759" s="31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</row>
    <row r="760">
      <c r="B760" s="44"/>
      <c r="C760" s="31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</row>
    <row r="761">
      <c r="B761" s="44"/>
      <c r="C761" s="31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</row>
    <row r="762">
      <c r="B762" s="44"/>
      <c r="C762" s="31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</row>
    <row r="763">
      <c r="B763" s="44"/>
      <c r="C763" s="31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</row>
    <row r="764">
      <c r="B764" s="44"/>
      <c r="C764" s="31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</row>
    <row r="765">
      <c r="B765" s="44"/>
      <c r="C765" s="31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</row>
    <row r="766">
      <c r="B766" s="44"/>
      <c r="C766" s="31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</row>
    <row r="767">
      <c r="B767" s="44"/>
      <c r="C767" s="31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</row>
    <row r="768">
      <c r="B768" s="44"/>
      <c r="C768" s="31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</row>
    <row r="769">
      <c r="B769" s="44"/>
      <c r="C769" s="31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</row>
    <row r="770">
      <c r="B770" s="44"/>
      <c r="C770" s="31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</row>
    <row r="771">
      <c r="B771" s="44"/>
      <c r="C771" s="31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</row>
    <row r="772">
      <c r="B772" s="44"/>
      <c r="C772" s="31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</row>
    <row r="773">
      <c r="B773" s="44"/>
      <c r="C773" s="31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</row>
    <row r="774">
      <c r="B774" s="44"/>
      <c r="C774" s="31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</row>
    <row r="775">
      <c r="B775" s="44"/>
      <c r="C775" s="31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</row>
    <row r="776">
      <c r="B776" s="44"/>
      <c r="C776" s="31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</row>
    <row r="777">
      <c r="B777" s="44"/>
      <c r="C777" s="31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</row>
    <row r="778">
      <c r="B778" s="44"/>
      <c r="C778" s="31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</row>
    <row r="779">
      <c r="B779" s="44"/>
      <c r="C779" s="31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</row>
    <row r="780">
      <c r="B780" s="44"/>
      <c r="C780" s="31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</row>
    <row r="781">
      <c r="B781" s="44"/>
      <c r="C781" s="31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</row>
    <row r="782">
      <c r="B782" s="44"/>
      <c r="C782" s="31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</row>
    <row r="783">
      <c r="B783" s="44"/>
      <c r="C783" s="31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</row>
    <row r="784">
      <c r="B784" s="44"/>
      <c r="C784" s="31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</row>
    <row r="785">
      <c r="B785" s="44"/>
      <c r="C785" s="31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</row>
    <row r="786">
      <c r="B786" s="44"/>
      <c r="C786" s="31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</row>
    <row r="787">
      <c r="B787" s="44"/>
      <c r="C787" s="31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</row>
    <row r="788">
      <c r="B788" s="44"/>
      <c r="C788" s="31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</row>
    <row r="789">
      <c r="B789" s="44"/>
      <c r="C789" s="31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</row>
    <row r="790">
      <c r="B790" s="44"/>
      <c r="C790" s="31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</row>
    <row r="791">
      <c r="B791" s="44"/>
      <c r="C791" s="31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</row>
    <row r="792">
      <c r="B792" s="44"/>
      <c r="C792" s="31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</row>
    <row r="793">
      <c r="B793" s="44"/>
      <c r="C793" s="31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</row>
    <row r="794">
      <c r="B794" s="44"/>
      <c r="C794" s="31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</row>
    <row r="795">
      <c r="B795" s="44"/>
      <c r="C795" s="31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</row>
    <row r="796">
      <c r="B796" s="44"/>
      <c r="C796" s="31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</row>
    <row r="797">
      <c r="B797" s="44"/>
      <c r="C797" s="31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</row>
    <row r="798">
      <c r="B798" s="44"/>
      <c r="C798" s="31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</row>
    <row r="799">
      <c r="B799" s="44"/>
      <c r="C799" s="31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</row>
    <row r="800">
      <c r="B800" s="44"/>
      <c r="C800" s="31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</row>
    <row r="801">
      <c r="B801" s="44"/>
      <c r="C801" s="31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</row>
    <row r="802">
      <c r="B802" s="44"/>
      <c r="C802" s="31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</row>
    <row r="803">
      <c r="B803" s="44"/>
      <c r="C803" s="31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</row>
    <row r="804">
      <c r="B804" s="44"/>
      <c r="C804" s="31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</row>
    <row r="805">
      <c r="B805" s="44"/>
      <c r="C805" s="31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</row>
    <row r="806">
      <c r="B806" s="44"/>
      <c r="C806" s="31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</row>
    <row r="807">
      <c r="B807" s="44"/>
      <c r="C807" s="31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</row>
    <row r="808">
      <c r="B808" s="44"/>
      <c r="C808" s="31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</row>
    <row r="809">
      <c r="B809" s="44"/>
      <c r="C809" s="31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</row>
    <row r="810">
      <c r="B810" s="44"/>
      <c r="C810" s="31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</row>
    <row r="811">
      <c r="B811" s="44"/>
      <c r="C811" s="31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</row>
    <row r="812">
      <c r="B812" s="44"/>
      <c r="C812" s="31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</row>
    <row r="813">
      <c r="B813" s="44"/>
      <c r="C813" s="31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</row>
    <row r="814">
      <c r="B814" s="44"/>
      <c r="C814" s="31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</row>
    <row r="815">
      <c r="B815" s="44"/>
      <c r="C815" s="31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</row>
    <row r="816">
      <c r="B816" s="44"/>
      <c r="C816" s="31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</row>
    <row r="817">
      <c r="B817" s="44"/>
      <c r="C817" s="31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</row>
    <row r="818">
      <c r="B818" s="44"/>
      <c r="C818" s="31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</row>
    <row r="819">
      <c r="B819" s="44"/>
      <c r="C819" s="31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</row>
    <row r="820">
      <c r="B820" s="44"/>
      <c r="C820" s="31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</row>
    <row r="821">
      <c r="B821" s="44"/>
      <c r="C821" s="31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</row>
    <row r="822">
      <c r="B822" s="44"/>
      <c r="C822" s="31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</row>
    <row r="823">
      <c r="B823" s="44"/>
      <c r="C823" s="31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</row>
    <row r="824">
      <c r="B824" s="44"/>
      <c r="C824" s="31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</row>
    <row r="825">
      <c r="B825" s="44"/>
      <c r="C825" s="31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</row>
    <row r="826">
      <c r="B826" s="44"/>
      <c r="C826" s="31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</row>
    <row r="827">
      <c r="B827" s="44"/>
      <c r="C827" s="31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</row>
    <row r="828">
      <c r="B828" s="44"/>
      <c r="C828" s="31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</row>
    <row r="829">
      <c r="B829" s="44"/>
      <c r="C829" s="31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</row>
    <row r="830">
      <c r="B830" s="44"/>
      <c r="C830" s="31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</row>
    <row r="831">
      <c r="B831" s="44"/>
      <c r="C831" s="31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</row>
    <row r="832">
      <c r="B832" s="44"/>
      <c r="C832" s="31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</row>
    <row r="833">
      <c r="B833" s="44"/>
      <c r="C833" s="31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</row>
    <row r="834">
      <c r="B834" s="44"/>
      <c r="C834" s="31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</row>
    <row r="835">
      <c r="B835" s="44"/>
      <c r="C835" s="31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</row>
    <row r="836">
      <c r="B836" s="44"/>
      <c r="C836" s="31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</row>
    <row r="837">
      <c r="B837" s="44"/>
      <c r="C837" s="31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</row>
    <row r="838">
      <c r="B838" s="44"/>
      <c r="C838" s="31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</row>
    <row r="839">
      <c r="B839" s="44"/>
      <c r="C839" s="31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</row>
    <row r="840">
      <c r="B840" s="44"/>
      <c r="C840" s="31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</row>
    <row r="841">
      <c r="B841" s="44"/>
      <c r="C841" s="31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</row>
    <row r="842">
      <c r="B842" s="44"/>
      <c r="C842" s="31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</row>
    <row r="843">
      <c r="B843" s="44"/>
      <c r="C843" s="31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</row>
    <row r="844">
      <c r="B844" s="44"/>
      <c r="C844" s="31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</row>
    <row r="845">
      <c r="B845" s="44"/>
      <c r="C845" s="31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</row>
    <row r="846">
      <c r="B846" s="44"/>
      <c r="C846" s="31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</row>
    <row r="847">
      <c r="B847" s="44"/>
      <c r="C847" s="31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</row>
    <row r="848">
      <c r="B848" s="44"/>
      <c r="C848" s="31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</row>
    <row r="849">
      <c r="B849" s="44"/>
      <c r="C849" s="31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</row>
    <row r="850">
      <c r="B850" s="44"/>
      <c r="C850" s="31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</row>
    <row r="851">
      <c r="B851" s="44"/>
      <c r="C851" s="31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</row>
    <row r="852">
      <c r="B852" s="44"/>
      <c r="C852" s="31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</row>
    <row r="853">
      <c r="B853" s="44"/>
      <c r="C853" s="31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</row>
    <row r="854">
      <c r="B854" s="44"/>
      <c r="C854" s="31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</row>
    <row r="855">
      <c r="B855" s="44"/>
      <c r="C855" s="31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</row>
    <row r="856">
      <c r="B856" s="44"/>
      <c r="C856" s="31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</row>
    <row r="857">
      <c r="B857" s="44"/>
      <c r="C857" s="31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</row>
    <row r="858">
      <c r="B858" s="44"/>
      <c r="C858" s="31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</row>
    <row r="859">
      <c r="B859" s="44"/>
      <c r="C859" s="31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</row>
    <row r="860">
      <c r="B860" s="44"/>
      <c r="C860" s="31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</row>
    <row r="861">
      <c r="B861" s="44"/>
      <c r="C861" s="31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</row>
    <row r="862">
      <c r="B862" s="44"/>
      <c r="C862" s="31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</row>
    <row r="863">
      <c r="B863" s="44"/>
      <c r="C863" s="31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</row>
    <row r="864">
      <c r="B864" s="44"/>
      <c r="C864" s="31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</row>
    <row r="865">
      <c r="B865" s="44"/>
      <c r="C865" s="31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</row>
    <row r="866">
      <c r="B866" s="44"/>
      <c r="C866" s="31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</row>
    <row r="867">
      <c r="B867" s="44"/>
      <c r="C867" s="31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</row>
    <row r="868">
      <c r="B868" s="44"/>
      <c r="C868" s="31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</row>
    <row r="869">
      <c r="B869" s="44"/>
      <c r="C869" s="31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</row>
    <row r="870">
      <c r="B870" s="44"/>
      <c r="C870" s="31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</row>
    <row r="871">
      <c r="B871" s="44"/>
      <c r="C871" s="31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</row>
    <row r="872">
      <c r="B872" s="44"/>
      <c r="C872" s="31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</row>
    <row r="873">
      <c r="B873" s="44"/>
      <c r="C873" s="31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</row>
    <row r="874">
      <c r="B874" s="44"/>
      <c r="C874" s="31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</row>
    <row r="875">
      <c r="B875" s="44"/>
      <c r="C875" s="31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</row>
    <row r="876">
      <c r="B876" s="44"/>
      <c r="C876" s="31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</row>
    <row r="877">
      <c r="B877" s="44"/>
      <c r="C877" s="31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</row>
    <row r="878">
      <c r="B878" s="44"/>
      <c r="C878" s="31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</row>
    <row r="879">
      <c r="B879" s="44"/>
      <c r="C879" s="31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</row>
    <row r="880">
      <c r="B880" s="44"/>
      <c r="C880" s="31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</row>
    <row r="881">
      <c r="B881" s="44"/>
      <c r="C881" s="31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</row>
    <row r="882">
      <c r="B882" s="44"/>
      <c r="C882" s="31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</row>
    <row r="883">
      <c r="B883" s="44"/>
      <c r="C883" s="31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</row>
    <row r="884">
      <c r="B884" s="44"/>
      <c r="C884" s="31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</row>
    <row r="885">
      <c r="B885" s="44"/>
      <c r="C885" s="31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</row>
    <row r="886">
      <c r="B886" s="44"/>
      <c r="C886" s="31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</row>
    <row r="887">
      <c r="B887" s="44"/>
      <c r="C887" s="31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</row>
    <row r="888">
      <c r="B888" s="44"/>
      <c r="C888" s="31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</row>
    <row r="889">
      <c r="B889" s="44"/>
      <c r="C889" s="31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</row>
    <row r="890">
      <c r="B890" s="44"/>
      <c r="C890" s="31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</row>
    <row r="891">
      <c r="B891" s="44"/>
      <c r="C891" s="31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</row>
    <row r="892">
      <c r="B892" s="44"/>
      <c r="C892" s="31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</row>
    <row r="893">
      <c r="B893" s="44"/>
      <c r="C893" s="31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</row>
    <row r="894">
      <c r="B894" s="44"/>
      <c r="C894" s="31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</row>
    <row r="895">
      <c r="B895" s="44"/>
      <c r="C895" s="31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</row>
    <row r="896">
      <c r="B896" s="44"/>
      <c r="C896" s="31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</row>
    <row r="897">
      <c r="B897" s="44"/>
      <c r="C897" s="31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</row>
    <row r="898">
      <c r="B898" s="44"/>
      <c r="C898" s="31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</row>
    <row r="899">
      <c r="B899" s="44"/>
      <c r="C899" s="31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</row>
    <row r="900">
      <c r="B900" s="44"/>
      <c r="C900" s="31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</row>
    <row r="901">
      <c r="B901" s="44"/>
      <c r="C901" s="31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</row>
    <row r="902">
      <c r="B902" s="44"/>
      <c r="C902" s="31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</row>
    <row r="903">
      <c r="B903" s="44"/>
      <c r="C903" s="31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</row>
    <row r="904">
      <c r="B904" s="44"/>
      <c r="C904" s="31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</row>
    <row r="905">
      <c r="B905" s="44"/>
      <c r="C905" s="31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</row>
    <row r="906">
      <c r="B906" s="44"/>
      <c r="C906" s="31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</row>
    <row r="907">
      <c r="B907" s="44"/>
      <c r="C907" s="31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</row>
    <row r="908">
      <c r="B908" s="44"/>
      <c r="C908" s="31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</row>
    <row r="909">
      <c r="B909" s="44"/>
      <c r="C909" s="31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</row>
    <row r="910">
      <c r="B910" s="44"/>
      <c r="C910" s="31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</row>
    <row r="911">
      <c r="B911" s="44"/>
      <c r="C911" s="31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</row>
    <row r="912">
      <c r="B912" s="44"/>
      <c r="C912" s="31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</row>
    <row r="913">
      <c r="B913" s="44"/>
      <c r="C913" s="31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</row>
    <row r="914">
      <c r="B914" s="44"/>
      <c r="C914" s="31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</row>
    <row r="915">
      <c r="B915" s="44"/>
      <c r="C915" s="31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</row>
    <row r="916">
      <c r="B916" s="44"/>
      <c r="C916" s="31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</row>
    <row r="917">
      <c r="B917" s="44"/>
      <c r="C917" s="31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</row>
    <row r="918">
      <c r="B918" s="44"/>
      <c r="C918" s="31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</row>
    <row r="919">
      <c r="B919" s="44"/>
      <c r="C919" s="31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</row>
    <row r="920">
      <c r="B920" s="44"/>
      <c r="C920" s="31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</row>
    <row r="921">
      <c r="B921" s="44"/>
      <c r="C921" s="31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</row>
    <row r="922">
      <c r="B922" s="44"/>
      <c r="C922" s="31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</row>
    <row r="923">
      <c r="B923" s="44"/>
      <c r="C923" s="31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</row>
    <row r="924">
      <c r="B924" s="44"/>
      <c r="C924" s="31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</row>
    <row r="925">
      <c r="B925" s="44"/>
      <c r="C925" s="31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</row>
    <row r="926">
      <c r="B926" s="44"/>
      <c r="C926" s="31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</row>
    <row r="927">
      <c r="B927" s="44"/>
      <c r="C927" s="31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</row>
    <row r="928">
      <c r="B928" s="44"/>
      <c r="C928" s="31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</row>
    <row r="929">
      <c r="B929" s="44"/>
      <c r="C929" s="31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</row>
    <row r="930">
      <c r="B930" s="44"/>
      <c r="C930" s="31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</row>
    <row r="931">
      <c r="B931" s="44"/>
      <c r="C931" s="31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</row>
    <row r="932">
      <c r="B932" s="44"/>
      <c r="C932" s="31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</row>
    <row r="933">
      <c r="B933" s="44"/>
      <c r="C933" s="31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</row>
    <row r="934">
      <c r="B934" s="44"/>
      <c r="C934" s="31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</row>
    <row r="935">
      <c r="B935" s="44"/>
      <c r="C935" s="31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</row>
    <row r="936">
      <c r="B936" s="44"/>
      <c r="C936" s="31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</row>
    <row r="937">
      <c r="B937" s="44"/>
      <c r="C937" s="31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</row>
    <row r="938">
      <c r="B938" s="44"/>
      <c r="C938" s="31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</row>
    <row r="939">
      <c r="B939" s="44"/>
      <c r="C939" s="31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</row>
    <row r="940">
      <c r="B940" s="44"/>
      <c r="C940" s="31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</row>
    <row r="941">
      <c r="B941" s="44"/>
      <c r="C941" s="31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</row>
    <row r="942">
      <c r="B942" s="44"/>
      <c r="C942" s="31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</row>
    <row r="943">
      <c r="B943" s="44"/>
      <c r="C943" s="31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</row>
    <row r="944">
      <c r="B944" s="44"/>
      <c r="C944" s="31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</row>
    <row r="945">
      <c r="B945" s="44"/>
      <c r="C945" s="31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</row>
    <row r="946">
      <c r="B946" s="44"/>
      <c r="C946" s="31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</row>
    <row r="947">
      <c r="B947" s="44"/>
      <c r="C947" s="31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</row>
    <row r="948">
      <c r="B948" s="44"/>
      <c r="C948" s="31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</row>
    <row r="949">
      <c r="B949" s="44"/>
      <c r="C949" s="31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</row>
    <row r="950">
      <c r="B950" s="44"/>
      <c r="C950" s="31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</row>
    <row r="951">
      <c r="B951" s="44"/>
      <c r="C951" s="31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</row>
    <row r="952">
      <c r="B952" s="44"/>
      <c r="C952" s="31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</row>
    <row r="953">
      <c r="B953" s="44"/>
      <c r="C953" s="31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</row>
    <row r="954">
      <c r="B954" s="44"/>
      <c r="C954" s="31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</row>
    <row r="955">
      <c r="B955" s="44"/>
      <c r="C955" s="31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</row>
    <row r="956">
      <c r="B956" s="44"/>
      <c r="C956" s="31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</row>
    <row r="957">
      <c r="B957" s="44"/>
      <c r="C957" s="31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</row>
    <row r="958">
      <c r="B958" s="44"/>
      <c r="C958" s="31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</row>
    <row r="959">
      <c r="B959" s="44"/>
      <c r="C959" s="31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</row>
    <row r="960">
      <c r="B960" s="44"/>
      <c r="C960" s="31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</row>
    <row r="961">
      <c r="B961" s="44"/>
      <c r="C961" s="31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</row>
    <row r="962">
      <c r="B962" s="44"/>
      <c r="C962" s="31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</row>
    <row r="963">
      <c r="B963" s="44"/>
      <c r="C963" s="31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</row>
    <row r="964">
      <c r="B964" s="44"/>
      <c r="C964" s="31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</row>
    <row r="965">
      <c r="B965" s="44"/>
      <c r="C965" s="31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</row>
    <row r="966">
      <c r="B966" s="44"/>
      <c r="C966" s="31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</row>
    <row r="967">
      <c r="B967" s="44"/>
      <c r="C967" s="31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</row>
    <row r="968">
      <c r="B968" s="44"/>
      <c r="C968" s="31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</row>
    <row r="969">
      <c r="B969" s="44"/>
      <c r="C969" s="31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</row>
    <row r="970">
      <c r="B970" s="44"/>
      <c r="C970" s="31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</row>
    <row r="971">
      <c r="B971" s="44"/>
      <c r="C971" s="31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</row>
    <row r="972">
      <c r="B972" s="44"/>
      <c r="C972" s="31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</row>
    <row r="973">
      <c r="B973" s="44"/>
      <c r="C973" s="31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</row>
    <row r="974">
      <c r="B974" s="44"/>
      <c r="C974" s="31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</row>
    <row r="975">
      <c r="B975" s="44"/>
      <c r="C975" s="31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</row>
    <row r="976">
      <c r="B976" s="44"/>
      <c r="C976" s="31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</row>
    <row r="977">
      <c r="B977" s="44"/>
      <c r="C977" s="31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</row>
    <row r="978">
      <c r="B978" s="44"/>
      <c r="C978" s="31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</row>
    <row r="979">
      <c r="B979" s="44"/>
      <c r="C979" s="31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</row>
    <row r="980">
      <c r="B980" s="44"/>
      <c r="C980" s="31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</row>
    <row r="981">
      <c r="B981" s="44"/>
      <c r="C981" s="31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</row>
    <row r="982">
      <c r="B982" s="44"/>
      <c r="C982" s="31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</row>
    <row r="983">
      <c r="B983" s="44"/>
      <c r="C983" s="31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</row>
    <row r="984">
      <c r="B984" s="44"/>
      <c r="C984" s="31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</row>
    <row r="985">
      <c r="B985" s="44"/>
      <c r="C985" s="31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</row>
    <row r="986">
      <c r="B986" s="44"/>
      <c r="C986" s="31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</row>
    <row r="987">
      <c r="B987" s="44"/>
      <c r="C987" s="31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</row>
    <row r="988">
      <c r="B988" s="44"/>
      <c r="C988" s="31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</row>
    <row r="989">
      <c r="B989" s="44"/>
      <c r="C989" s="31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</row>
    <row r="990">
      <c r="B990" s="44"/>
      <c r="C990" s="31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</row>
    <row r="991">
      <c r="B991" s="44"/>
      <c r="C991" s="31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</row>
    <row r="992">
      <c r="B992" s="44"/>
      <c r="C992" s="31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</row>
    <row r="993">
      <c r="B993" s="44"/>
      <c r="C993" s="31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</row>
    <row r="994">
      <c r="B994" s="44"/>
      <c r="C994" s="31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</row>
    <row r="995">
      <c r="B995" s="44"/>
      <c r="C995" s="31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</row>
    <row r="996">
      <c r="B996" s="44"/>
      <c r="C996" s="31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</row>
    <row r="997">
      <c r="B997" s="44"/>
      <c r="C997" s="31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</row>
    <row r="998">
      <c r="B998" s="44"/>
      <c r="C998" s="31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</row>
    <row r="999">
      <c r="B999" s="44"/>
      <c r="C999" s="31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</row>
    <row r="1000">
      <c r="B1000" s="44"/>
      <c r="C1000" s="31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</row>
    <row r="1001">
      <c r="B1001" s="44"/>
      <c r="C1001" s="31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</row>
    <row r="1002">
      <c r="B1002" s="44"/>
      <c r="C1002" s="31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</row>
    <row r="1003">
      <c r="B1003" s="44"/>
      <c r="C1003" s="31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</row>
    <row r="1004">
      <c r="B1004" s="44"/>
      <c r="C1004" s="31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</row>
    <row r="1005">
      <c r="B1005" s="44"/>
      <c r="C1005" s="31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</row>
    <row r="1006">
      <c r="B1006" s="44"/>
      <c r="C1006" s="31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</row>
    <row r="1007">
      <c r="B1007" s="44"/>
      <c r="C1007" s="31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</row>
    <row r="1008">
      <c r="B1008" s="44"/>
      <c r="C1008" s="31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</row>
    <row r="1009">
      <c r="B1009" s="44"/>
      <c r="C1009" s="31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</row>
    <row r="1010">
      <c r="B1010" s="44"/>
      <c r="C1010" s="31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</row>
    <row r="1011">
      <c r="B1011" s="44"/>
      <c r="C1011" s="31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</row>
    <row r="1012">
      <c r="B1012" s="44"/>
      <c r="C1012" s="31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</row>
    <row r="1013">
      <c r="B1013" s="44"/>
      <c r="C1013" s="31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</row>
  </sheetData>
  <conditionalFormatting sqref="F2:F34">
    <cfRule type="colorScale" priority="1">
      <colorScale>
        <cfvo type="formula" val="5700"/>
        <cfvo type="percentile" val="50"/>
        <cfvo type="formula" val="7200"/>
        <color rgb="FFE67C73"/>
        <color rgb="FFFFFFFF"/>
        <color rgb="FF57BB8A"/>
      </colorScale>
    </cfRule>
  </conditionalFormatting>
  <conditionalFormatting sqref="L2:L34">
    <cfRule type="colorScale" priority="2">
      <colorScale>
        <cfvo type="min"/>
        <cfvo type="percentile" val="50"/>
        <cfvo type="formula" val="200000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0.63"/>
    <col customWidth="1" min="3" max="3" width="22.75"/>
    <col customWidth="1" min="4" max="4" width="15.13"/>
    <col customWidth="1" min="5" max="6" width="8.63"/>
    <col customWidth="1" min="7" max="7" width="9.38"/>
    <col customWidth="1" min="8" max="8" width="12.38"/>
    <col customWidth="1" min="9" max="9" width="12.0"/>
    <col customWidth="1" min="10" max="10" width="13.25"/>
    <col customWidth="1" min="11" max="11" width="11.13"/>
    <col customWidth="1" min="12" max="12" width="10.13"/>
    <col customWidth="1" min="13" max="13" width="12.75"/>
    <col customWidth="1" min="14" max="14" width="10.88"/>
    <col customWidth="1" min="15" max="15" width="10.75"/>
    <col customWidth="1" min="16" max="16" width="12.88"/>
    <col customWidth="1" min="17" max="17" width="12.38"/>
    <col customWidth="1" min="18" max="18" width="10.63"/>
    <col customWidth="1" min="19" max="19" width="10.38"/>
  </cols>
  <sheetData>
    <row r="1">
      <c r="B1" s="18" t="s">
        <v>1</v>
      </c>
      <c r="C1" s="45" t="s">
        <v>145</v>
      </c>
      <c r="D1" s="46" t="s">
        <v>173</v>
      </c>
      <c r="E1" s="20" t="s">
        <v>3</v>
      </c>
      <c r="F1" s="20" t="s">
        <v>4</v>
      </c>
      <c r="G1" s="20" t="s">
        <v>5</v>
      </c>
      <c r="H1" s="20" t="s">
        <v>146</v>
      </c>
      <c r="I1" s="20" t="s">
        <v>147</v>
      </c>
      <c r="J1" s="20" t="s">
        <v>148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47" t="s">
        <v>174</v>
      </c>
      <c r="U1" s="47" t="s">
        <v>175</v>
      </c>
      <c r="V1" s="47" t="s">
        <v>176</v>
      </c>
    </row>
    <row r="2">
      <c r="B2" s="22" t="s">
        <v>149</v>
      </c>
      <c r="C2" s="48">
        <v>0.0</v>
      </c>
      <c r="D2" s="27" t="s">
        <v>177</v>
      </c>
      <c r="E2" s="27">
        <v>5400.0</v>
      </c>
      <c r="F2" s="27">
        <v>4400.0</v>
      </c>
      <c r="G2" s="27">
        <v>5250.0</v>
      </c>
      <c r="H2" s="28">
        <v>16650.0</v>
      </c>
      <c r="I2" s="27">
        <v>14200.0</v>
      </c>
      <c r="J2" s="27">
        <v>16200.0</v>
      </c>
      <c r="K2" s="27">
        <v>74000.0</v>
      </c>
      <c r="L2" s="27">
        <v>35000.0</v>
      </c>
      <c r="M2" s="27">
        <v>70000.0</v>
      </c>
      <c r="N2" s="27">
        <v>6000.0</v>
      </c>
      <c r="O2" s="49">
        <v>2200.0</v>
      </c>
      <c r="P2" s="28">
        <v>5900.0</v>
      </c>
      <c r="Q2" s="27">
        <v>275.0</v>
      </c>
      <c r="R2" s="48">
        <v>80.0</v>
      </c>
      <c r="S2" s="28">
        <v>245.0</v>
      </c>
      <c r="T2" s="50">
        <v>4.2</v>
      </c>
      <c r="U2" s="50">
        <v>0.45</v>
      </c>
      <c r="V2" s="51">
        <v>4.05</v>
      </c>
    </row>
    <row r="3">
      <c r="A3" s="29"/>
      <c r="B3" s="22" t="s">
        <v>46</v>
      </c>
      <c r="C3" s="48">
        <v>0.0</v>
      </c>
      <c r="D3" s="49" t="s">
        <v>178</v>
      </c>
      <c r="E3" s="48">
        <v>5600.0</v>
      </c>
      <c r="F3" s="48">
        <v>4600.0</v>
      </c>
      <c r="G3" s="48">
        <v>5400.0</v>
      </c>
      <c r="H3" s="48"/>
      <c r="I3" s="48"/>
      <c r="J3" s="48"/>
      <c r="K3" s="48">
        <v>91000.0</v>
      </c>
      <c r="L3" s="48">
        <v>40500.0</v>
      </c>
      <c r="M3" s="48">
        <v>65000.0</v>
      </c>
      <c r="N3" s="48">
        <v>6300.0</v>
      </c>
      <c r="O3" s="48">
        <v>2050.0</v>
      </c>
      <c r="P3" s="17">
        <v>3800.0</v>
      </c>
      <c r="Q3" s="48">
        <v>340.0</v>
      </c>
      <c r="R3" s="49">
        <v>85.0</v>
      </c>
      <c r="S3" s="17">
        <v>140.0</v>
      </c>
      <c r="T3" s="51">
        <v>1.7</v>
      </c>
      <c r="U3" s="51">
        <v>0.42</v>
      </c>
      <c r="V3" s="51">
        <v>1.2</v>
      </c>
      <c r="W3" s="29"/>
      <c r="X3" s="29"/>
      <c r="Y3" s="29"/>
      <c r="Z3" s="29"/>
      <c r="AA3" s="29"/>
    </row>
    <row r="4">
      <c r="B4" s="22" t="s">
        <v>179</v>
      </c>
      <c r="C4" s="48">
        <v>0.0</v>
      </c>
      <c r="D4" s="48" t="s">
        <v>177</v>
      </c>
      <c r="E4" s="48">
        <v>5200.0</v>
      </c>
      <c r="F4" s="48">
        <v>4500.0</v>
      </c>
      <c r="G4" s="48">
        <v>5000.0</v>
      </c>
      <c r="H4" s="48">
        <v>16500.0</v>
      </c>
      <c r="I4" s="48">
        <v>14400.0</v>
      </c>
      <c r="J4" s="48">
        <v>15800.0</v>
      </c>
      <c r="K4" s="48">
        <v>69000.0</v>
      </c>
      <c r="L4" s="48">
        <v>37000.0</v>
      </c>
      <c r="M4" s="48">
        <v>50000.0</v>
      </c>
      <c r="N4" s="48">
        <v>5000.0</v>
      </c>
      <c r="O4" s="48">
        <v>2000.0</v>
      </c>
      <c r="P4" s="17">
        <v>4000.0</v>
      </c>
      <c r="Q4" s="48">
        <v>250.0</v>
      </c>
      <c r="R4" s="48">
        <v>50.0</v>
      </c>
      <c r="S4" s="17">
        <v>100.0</v>
      </c>
      <c r="T4" s="51">
        <v>1.5</v>
      </c>
      <c r="U4" s="51">
        <v>0.4</v>
      </c>
      <c r="V4" s="51">
        <v>1.0</v>
      </c>
    </row>
    <row r="5">
      <c r="B5" s="22" t="s">
        <v>180</v>
      </c>
      <c r="C5" s="48">
        <v>0.0</v>
      </c>
      <c r="D5" s="49" t="s">
        <v>178</v>
      </c>
      <c r="E5" s="48">
        <v>5350.0</v>
      </c>
      <c r="F5" s="48">
        <v>4340.0</v>
      </c>
      <c r="G5" s="48">
        <v>4800.0</v>
      </c>
      <c r="H5" s="48">
        <v>17000.0</v>
      </c>
      <c r="I5" s="48">
        <v>13250.0</v>
      </c>
      <c r="J5" s="48">
        <v>15500.0</v>
      </c>
      <c r="K5" s="48">
        <v>88000.0</v>
      </c>
      <c r="L5" s="48">
        <v>34000.0</v>
      </c>
      <c r="M5" s="48">
        <v>56000.0</v>
      </c>
      <c r="N5" s="48">
        <v>9800.0</v>
      </c>
      <c r="O5" s="48">
        <v>2250.0</v>
      </c>
      <c r="P5" s="17">
        <v>6400.0</v>
      </c>
      <c r="Q5" s="48">
        <v>450.0</v>
      </c>
      <c r="R5" s="48">
        <v>60.0</v>
      </c>
      <c r="S5" s="17">
        <v>230.0</v>
      </c>
      <c r="T5" s="51">
        <v>1.7</v>
      </c>
      <c r="U5" s="51">
        <v>0.45</v>
      </c>
      <c r="V5" s="51">
        <v>1.15</v>
      </c>
    </row>
    <row r="6">
      <c r="B6" s="22" t="s">
        <v>73</v>
      </c>
      <c r="C6" s="48">
        <v>1.0</v>
      </c>
      <c r="D6" s="49" t="s">
        <v>178</v>
      </c>
      <c r="E6" s="48">
        <v>4818.0</v>
      </c>
      <c r="F6" s="48">
        <v>3500.0</v>
      </c>
      <c r="G6" s="48">
        <v>3500.0</v>
      </c>
      <c r="H6" s="48">
        <v>15200.0</v>
      </c>
      <c r="I6" s="48">
        <v>10100.0</v>
      </c>
      <c r="J6" s="48">
        <v>10100.0</v>
      </c>
      <c r="K6" s="48">
        <v>99000.0</v>
      </c>
      <c r="L6" s="48">
        <v>36000.0</v>
      </c>
      <c r="M6" s="48">
        <v>99000.0</v>
      </c>
      <c r="N6" s="48">
        <v>8000.0</v>
      </c>
      <c r="O6" s="48">
        <v>2000.0</v>
      </c>
      <c r="P6" s="17">
        <v>8000.0</v>
      </c>
      <c r="Q6" s="48"/>
      <c r="R6" s="48"/>
      <c r="S6" s="17">
        <v>0.0</v>
      </c>
      <c r="T6" s="52"/>
      <c r="U6" s="52"/>
      <c r="V6" s="51">
        <v>0.0</v>
      </c>
    </row>
    <row r="7">
      <c r="B7" s="17" t="s">
        <v>68</v>
      </c>
      <c r="C7" s="17">
        <v>0.0</v>
      </c>
      <c r="D7" s="49" t="s">
        <v>178</v>
      </c>
      <c r="E7" s="17">
        <v>5722.0</v>
      </c>
      <c r="F7" s="17">
        <v>4529.0</v>
      </c>
      <c r="G7" s="17">
        <v>5245.0</v>
      </c>
      <c r="H7" s="17">
        <v>17800.0</v>
      </c>
      <c r="I7" s="17">
        <v>14250.0</v>
      </c>
      <c r="J7" s="17">
        <v>16800.0</v>
      </c>
      <c r="K7" s="17">
        <v>106000.0</v>
      </c>
      <c r="L7" s="17">
        <v>33000.0</v>
      </c>
      <c r="M7" s="17">
        <v>92000.0</v>
      </c>
      <c r="N7" s="17">
        <v>9200.0</v>
      </c>
      <c r="O7" s="17">
        <v>1950.0</v>
      </c>
      <c r="P7" s="17">
        <v>8400.0</v>
      </c>
      <c r="Q7" s="17">
        <v>560.0</v>
      </c>
      <c r="R7" s="53">
        <v>85.0</v>
      </c>
      <c r="S7" s="17">
        <v>240.0</v>
      </c>
      <c r="T7" s="51">
        <v>1.8</v>
      </c>
      <c r="U7" s="54">
        <v>0.35</v>
      </c>
      <c r="V7" s="51">
        <v>1.2</v>
      </c>
    </row>
    <row r="8">
      <c r="B8" s="22" t="s">
        <v>34</v>
      </c>
      <c r="C8" s="48">
        <v>0.0</v>
      </c>
      <c r="D8" s="48" t="s">
        <v>181</v>
      </c>
      <c r="E8" s="48">
        <v>5500.0</v>
      </c>
      <c r="F8" s="48">
        <v>4500.0</v>
      </c>
      <c r="G8" s="48">
        <v>5200.0</v>
      </c>
      <c r="H8" s="48">
        <v>18000.0</v>
      </c>
      <c r="I8" s="48">
        <v>14500.0</v>
      </c>
      <c r="J8" s="48">
        <v>17000.0</v>
      </c>
      <c r="K8" s="48">
        <v>46000.0</v>
      </c>
      <c r="L8" s="48">
        <v>32000.0</v>
      </c>
      <c r="M8" s="48">
        <v>42000.0</v>
      </c>
      <c r="N8" s="48">
        <v>3000.0</v>
      </c>
      <c r="O8" s="48">
        <v>1800.0</v>
      </c>
      <c r="P8" s="17">
        <v>2400.0</v>
      </c>
      <c r="Q8" s="48">
        <v>135.0</v>
      </c>
      <c r="R8" s="48">
        <v>50.0</v>
      </c>
      <c r="S8" s="17">
        <v>100.0</v>
      </c>
      <c r="T8" s="51">
        <v>0.9</v>
      </c>
      <c r="U8" s="51">
        <v>0.4</v>
      </c>
      <c r="V8" s="51">
        <v>0.6</v>
      </c>
    </row>
    <row r="9">
      <c r="B9" s="22" t="s">
        <v>172</v>
      </c>
      <c r="C9" s="48">
        <v>1.0</v>
      </c>
      <c r="D9" s="55" t="s">
        <v>178</v>
      </c>
      <c r="E9" s="48">
        <v>5100.0</v>
      </c>
      <c r="F9" s="48">
        <v>3950.0</v>
      </c>
      <c r="G9" s="48">
        <v>4215.0</v>
      </c>
      <c r="H9" s="48">
        <v>18000.0</v>
      </c>
      <c r="I9" s="48">
        <v>12000.0</v>
      </c>
      <c r="J9" s="48">
        <v>13500.0</v>
      </c>
      <c r="K9" s="48">
        <v>102000.0</v>
      </c>
      <c r="L9" s="48">
        <v>28000.0</v>
      </c>
      <c r="M9" s="48">
        <v>100000.0</v>
      </c>
      <c r="N9" s="48">
        <v>5000.0</v>
      </c>
      <c r="O9" s="48">
        <v>1800.0</v>
      </c>
      <c r="P9" s="17">
        <v>4600.0</v>
      </c>
      <c r="Q9" s="48">
        <v>140.0</v>
      </c>
      <c r="R9" s="48">
        <v>25.0</v>
      </c>
      <c r="S9" s="17">
        <v>100.0</v>
      </c>
      <c r="T9" s="51">
        <v>0.8</v>
      </c>
      <c r="U9" s="51">
        <v>0.3</v>
      </c>
      <c r="V9" s="51">
        <v>0.7</v>
      </c>
    </row>
    <row r="10">
      <c r="B10" s="22" t="s">
        <v>155</v>
      </c>
      <c r="C10" s="48">
        <v>0.0</v>
      </c>
      <c r="D10" s="49" t="s">
        <v>182</v>
      </c>
      <c r="E10" s="48">
        <f>G10</f>
        <v>5488</v>
      </c>
      <c r="F10" s="48">
        <v>4500.0</v>
      </c>
      <c r="G10" s="48">
        <v>5488.0</v>
      </c>
      <c r="H10" s="48"/>
      <c r="I10" s="48"/>
      <c r="J10" s="48"/>
      <c r="K10" s="48"/>
      <c r="L10" s="48"/>
      <c r="M10" s="48"/>
      <c r="N10" s="48"/>
      <c r="O10" s="48"/>
      <c r="Q10" s="48"/>
      <c r="R10" s="48"/>
      <c r="T10" s="52"/>
      <c r="U10" s="52"/>
      <c r="V10" s="52"/>
    </row>
    <row r="11">
      <c r="B11" s="22" t="s">
        <v>152</v>
      </c>
      <c r="C11" s="48">
        <v>0.0</v>
      </c>
      <c r="D11" s="49" t="s">
        <v>178</v>
      </c>
      <c r="E11" s="48">
        <v>5450.0</v>
      </c>
      <c r="F11" s="48">
        <v>4250.0</v>
      </c>
      <c r="G11" s="48">
        <v>5100.0</v>
      </c>
      <c r="H11" s="48">
        <v>17200.0</v>
      </c>
      <c r="I11" s="48">
        <v>14500.0</v>
      </c>
      <c r="J11" s="48">
        <v>16500.0</v>
      </c>
      <c r="K11" s="49">
        <v>107000.0</v>
      </c>
      <c r="L11" s="48">
        <v>32000.0</v>
      </c>
      <c r="M11" s="48">
        <v>79000.0</v>
      </c>
      <c r="N11" s="48">
        <v>7150.0</v>
      </c>
      <c r="O11" s="48">
        <v>1900.0</v>
      </c>
      <c r="P11" s="17">
        <v>5500.0</v>
      </c>
      <c r="Q11" s="48"/>
      <c r="R11" s="48"/>
      <c r="T11" s="52"/>
      <c r="U11" s="52"/>
      <c r="V11" s="52"/>
    </row>
    <row r="12">
      <c r="B12" s="22" t="s">
        <v>183</v>
      </c>
      <c r="C12" s="48">
        <v>0.0</v>
      </c>
      <c r="D12" s="48" t="s">
        <v>177</v>
      </c>
      <c r="E12" s="48">
        <v>5000.0</v>
      </c>
      <c r="F12" s="48">
        <v>4500.0</v>
      </c>
      <c r="G12" s="48">
        <v>5000.0</v>
      </c>
      <c r="H12" s="48">
        <v>18000.0</v>
      </c>
      <c r="I12" s="48">
        <v>14500.0</v>
      </c>
      <c r="J12" s="48">
        <v>17500.0</v>
      </c>
      <c r="K12" s="48">
        <v>52000.0</v>
      </c>
      <c r="L12" s="48">
        <v>29000.0</v>
      </c>
      <c r="M12" s="48">
        <v>48000.0</v>
      </c>
      <c r="N12" s="48">
        <v>3500.0</v>
      </c>
      <c r="O12" s="48">
        <v>1700.0</v>
      </c>
      <c r="P12" s="17">
        <v>2800.0</v>
      </c>
      <c r="Q12" s="48">
        <v>120.0</v>
      </c>
      <c r="R12" s="48">
        <v>25.0</v>
      </c>
      <c r="S12" s="17">
        <v>50.0</v>
      </c>
      <c r="T12" s="52"/>
      <c r="U12" s="52"/>
      <c r="V12" s="52"/>
    </row>
    <row r="13">
      <c r="B13" s="22" t="s">
        <v>156</v>
      </c>
      <c r="C13" s="48">
        <v>0.0</v>
      </c>
      <c r="D13" s="48" t="s">
        <v>184</v>
      </c>
      <c r="E13" s="48">
        <v>5625.0</v>
      </c>
      <c r="F13" s="48">
        <v>4300.0</v>
      </c>
      <c r="G13" s="48">
        <v>5200.0</v>
      </c>
      <c r="H13" s="48">
        <v>16800.0</v>
      </c>
      <c r="I13" s="48">
        <v>14000.0</v>
      </c>
      <c r="J13" s="48">
        <v>16500.0</v>
      </c>
      <c r="K13" s="48">
        <v>69000.0</v>
      </c>
      <c r="L13" s="48">
        <v>34000.0</v>
      </c>
      <c r="M13" s="48">
        <v>51000.0</v>
      </c>
      <c r="N13" s="49">
        <v>4000.0</v>
      </c>
      <c r="O13" s="48">
        <v>1700.0</v>
      </c>
      <c r="P13" s="17">
        <v>2600.0</v>
      </c>
      <c r="Q13" s="48">
        <v>175.0</v>
      </c>
      <c r="R13" s="48">
        <v>40.0</v>
      </c>
      <c r="S13" s="17">
        <v>60.0</v>
      </c>
      <c r="T13" s="52"/>
      <c r="U13" s="52"/>
      <c r="V13" s="52"/>
    </row>
    <row r="14">
      <c r="B14" s="22" t="s">
        <v>160</v>
      </c>
      <c r="C14" s="48">
        <v>0.0</v>
      </c>
      <c r="D14" s="48" t="s">
        <v>177</v>
      </c>
      <c r="E14" s="48">
        <v>5100.0</v>
      </c>
      <c r="F14" s="48">
        <v>4000.0</v>
      </c>
      <c r="G14" s="48">
        <v>4400.0</v>
      </c>
      <c r="H14" s="48">
        <v>16200.0</v>
      </c>
      <c r="I14" s="48">
        <v>12000.0</v>
      </c>
      <c r="J14" s="48">
        <v>13500.0</v>
      </c>
      <c r="K14" s="48">
        <v>52000.0</v>
      </c>
      <c r="L14" s="48">
        <v>27000.0</v>
      </c>
      <c r="M14" s="48">
        <v>40000.0</v>
      </c>
      <c r="N14" s="48">
        <v>6500.0</v>
      </c>
      <c r="O14" s="48">
        <v>1800.0</v>
      </c>
      <c r="P14" s="17">
        <v>4000.0</v>
      </c>
      <c r="Q14" s="48"/>
      <c r="R14" s="48"/>
      <c r="T14" s="52"/>
      <c r="U14" s="52"/>
      <c r="V14" s="52"/>
    </row>
    <row r="15">
      <c r="B15" s="22" t="s">
        <v>185</v>
      </c>
      <c r="C15" s="48">
        <v>0.0</v>
      </c>
      <c r="D15" s="48" t="s">
        <v>177</v>
      </c>
      <c r="E15" s="48">
        <v>5800.0</v>
      </c>
      <c r="F15" s="48">
        <v>4400.0</v>
      </c>
      <c r="G15" s="48">
        <v>5400.0</v>
      </c>
      <c r="H15" s="48">
        <v>17500.0</v>
      </c>
      <c r="I15" s="48">
        <v>13500.0</v>
      </c>
      <c r="J15" s="48">
        <v>17000.0</v>
      </c>
      <c r="K15" s="48">
        <v>80000.0</v>
      </c>
      <c r="L15" s="48">
        <v>30000.0</v>
      </c>
      <c r="M15" s="48">
        <v>65000.0</v>
      </c>
      <c r="N15" s="48">
        <v>8000.0</v>
      </c>
      <c r="O15" s="48">
        <v>1500.0</v>
      </c>
      <c r="P15" s="17">
        <v>5000.0</v>
      </c>
      <c r="Q15" s="48">
        <v>300.0</v>
      </c>
      <c r="R15" s="48">
        <v>50.0</v>
      </c>
      <c r="S15" s="17">
        <v>140.0</v>
      </c>
      <c r="T15" s="51">
        <v>3.5</v>
      </c>
      <c r="U15" s="51">
        <v>0.45</v>
      </c>
      <c r="V15" s="51">
        <v>2.0</v>
      </c>
    </row>
    <row r="16">
      <c r="B16" s="22" t="s">
        <v>166</v>
      </c>
      <c r="C16" s="48">
        <v>0.0</v>
      </c>
      <c r="D16" s="49" t="s">
        <v>178</v>
      </c>
      <c r="E16" s="49">
        <v>6000.0</v>
      </c>
      <c r="F16" s="49">
        <v>4769.0</v>
      </c>
      <c r="G16" s="48">
        <v>6000.0</v>
      </c>
      <c r="H16" s="49">
        <v>19500.0</v>
      </c>
      <c r="I16" s="48">
        <v>15000.0</v>
      </c>
      <c r="J16" s="49">
        <v>19500.0</v>
      </c>
      <c r="K16" s="48">
        <v>145000.0</v>
      </c>
      <c r="L16" s="48">
        <v>41000.0</v>
      </c>
      <c r="M16" s="48">
        <v>135000.0</v>
      </c>
      <c r="N16" s="48">
        <v>12000.0</v>
      </c>
      <c r="O16" s="49">
        <v>2200.0</v>
      </c>
      <c r="P16" s="17">
        <v>10250.0</v>
      </c>
      <c r="Q16" s="48">
        <v>700.0</v>
      </c>
      <c r="R16" s="48">
        <v>95.0</v>
      </c>
      <c r="S16" s="17">
        <v>560.0</v>
      </c>
      <c r="T16" s="51">
        <v>5.0</v>
      </c>
      <c r="U16" s="51">
        <v>0.5</v>
      </c>
      <c r="V16" s="51">
        <v>4.2</v>
      </c>
    </row>
    <row r="17">
      <c r="B17" s="22" t="s">
        <v>44</v>
      </c>
      <c r="C17" s="48">
        <v>0.0</v>
      </c>
      <c r="D17" s="48" t="s">
        <v>177</v>
      </c>
      <c r="E17" s="48">
        <v>5525.0</v>
      </c>
      <c r="F17" s="48">
        <v>4000.0</v>
      </c>
      <c r="G17" s="48">
        <v>4975.0</v>
      </c>
      <c r="H17" s="48">
        <v>16500.0</v>
      </c>
      <c r="I17" s="49">
        <v>14500.0</v>
      </c>
      <c r="J17" s="48">
        <v>15000.0</v>
      </c>
      <c r="K17" s="48">
        <v>77500.0</v>
      </c>
      <c r="L17" s="48">
        <v>35000.0</v>
      </c>
      <c r="M17" s="48">
        <v>52000.0</v>
      </c>
      <c r="N17" s="49">
        <v>4000.0</v>
      </c>
      <c r="O17" s="48">
        <v>1850.0</v>
      </c>
      <c r="P17" s="17">
        <v>3000.0</v>
      </c>
      <c r="Q17" s="48">
        <v>300.0</v>
      </c>
      <c r="R17" s="48">
        <v>90.0</v>
      </c>
      <c r="S17" s="53">
        <v>175.0</v>
      </c>
      <c r="T17" s="52"/>
      <c r="U17" s="52"/>
      <c r="V17" s="52"/>
    </row>
    <row r="18">
      <c r="B18" s="22" t="s">
        <v>186</v>
      </c>
      <c r="C18" s="48">
        <v>0.0</v>
      </c>
      <c r="D18" s="49" t="s">
        <v>178</v>
      </c>
      <c r="E18" s="48">
        <v>5770.0</v>
      </c>
      <c r="F18" s="48">
        <v>4483.0</v>
      </c>
      <c r="G18" s="49">
        <v>5600.0</v>
      </c>
      <c r="H18" s="48">
        <v>18900.0</v>
      </c>
      <c r="I18" s="48">
        <v>13800.0</v>
      </c>
      <c r="J18" s="48">
        <v>18600.0</v>
      </c>
      <c r="K18" s="48">
        <v>89000.0</v>
      </c>
      <c r="L18" s="48">
        <v>38000.0</v>
      </c>
      <c r="M18" s="48">
        <v>84000.0</v>
      </c>
      <c r="N18" s="48">
        <v>3400.0</v>
      </c>
      <c r="O18" s="48">
        <v>1950.0</v>
      </c>
      <c r="P18" s="53">
        <v>3350.0</v>
      </c>
      <c r="Q18" s="48">
        <v>290.0</v>
      </c>
      <c r="R18" s="48">
        <v>87.0</v>
      </c>
      <c r="S18" s="17">
        <v>165.0</v>
      </c>
      <c r="T18" s="54">
        <v>1.1</v>
      </c>
      <c r="U18" s="51">
        <v>0.4</v>
      </c>
      <c r="V18" s="54">
        <v>0.89</v>
      </c>
    </row>
    <row r="19">
      <c r="B19" s="22" t="s">
        <v>187</v>
      </c>
      <c r="C19" s="48">
        <v>0.0</v>
      </c>
      <c r="D19" s="49" t="s">
        <v>178</v>
      </c>
      <c r="E19" s="48">
        <v>5435.0</v>
      </c>
      <c r="F19" s="48">
        <v>4319.0</v>
      </c>
      <c r="G19" s="48">
        <v>5026.0</v>
      </c>
      <c r="H19" s="48">
        <v>17222.0</v>
      </c>
      <c r="I19" s="48">
        <v>13456.0</v>
      </c>
      <c r="J19" s="48">
        <v>15738.0</v>
      </c>
      <c r="K19" s="48">
        <v>69696.9</v>
      </c>
      <c r="L19" s="48">
        <v>26662.0</v>
      </c>
      <c r="M19" s="48">
        <v>42001.0</v>
      </c>
      <c r="N19" s="48">
        <v>4444.44</v>
      </c>
      <c r="O19" s="48">
        <v>1888.88</v>
      </c>
      <c r="P19" s="17">
        <v>2500.0</v>
      </c>
      <c r="Q19" s="48">
        <v>119.9</v>
      </c>
      <c r="R19" s="48">
        <v>33.0</v>
      </c>
      <c r="S19" s="17">
        <v>40.0</v>
      </c>
      <c r="T19" s="51">
        <v>2.22</v>
      </c>
      <c r="U19" s="51">
        <v>0.41</v>
      </c>
      <c r="V19" s="51">
        <v>1.54</v>
      </c>
    </row>
    <row r="20">
      <c r="B20" s="22" t="s">
        <v>42</v>
      </c>
      <c r="C20" s="48">
        <v>0.0</v>
      </c>
      <c r="D20" s="49" t="s">
        <v>178</v>
      </c>
      <c r="E20" s="48">
        <v>4990.0</v>
      </c>
      <c r="F20" s="48">
        <v>4220.0</v>
      </c>
      <c r="G20" s="48">
        <v>4700.0</v>
      </c>
      <c r="H20" s="48">
        <v>15800.0</v>
      </c>
      <c r="I20" s="48">
        <v>10800.0</v>
      </c>
      <c r="J20" s="48">
        <v>12800.0</v>
      </c>
      <c r="K20" s="48">
        <v>88888.0</v>
      </c>
      <c r="L20" s="48">
        <v>31999.0</v>
      </c>
      <c r="M20" s="48">
        <v>69420.0</v>
      </c>
      <c r="N20" s="48">
        <v>2900.0</v>
      </c>
      <c r="O20" s="48">
        <v>1750.0</v>
      </c>
      <c r="P20" s="17">
        <v>2900.0</v>
      </c>
      <c r="Q20" s="48">
        <v>325.0</v>
      </c>
      <c r="R20" s="48">
        <v>69.0</v>
      </c>
      <c r="S20" s="17">
        <v>255.0</v>
      </c>
      <c r="T20" s="51">
        <v>2.22</v>
      </c>
      <c r="U20" s="54">
        <v>0.35</v>
      </c>
      <c r="V20" s="51">
        <v>0.59</v>
      </c>
    </row>
    <row r="21">
      <c r="B21" s="22" t="s">
        <v>48</v>
      </c>
      <c r="C21" s="48">
        <v>0.0</v>
      </c>
      <c r="D21" s="49" t="s">
        <v>178</v>
      </c>
      <c r="E21" s="48">
        <v>5900.0</v>
      </c>
      <c r="F21" s="48">
        <v>4350.0</v>
      </c>
      <c r="G21" s="48">
        <v>5700.0</v>
      </c>
      <c r="H21" s="48"/>
      <c r="I21" s="48"/>
      <c r="J21" s="48"/>
      <c r="K21" s="48" t="s">
        <v>188</v>
      </c>
      <c r="L21" s="48">
        <v>38000.0</v>
      </c>
      <c r="M21" s="49">
        <v>95000.0</v>
      </c>
      <c r="N21" s="48">
        <v>5600.0</v>
      </c>
      <c r="O21" s="48">
        <v>2050.0</v>
      </c>
      <c r="P21" s="17">
        <v>5200.0</v>
      </c>
      <c r="Q21" s="48">
        <v>190.0</v>
      </c>
      <c r="R21" s="48">
        <v>88.0</v>
      </c>
      <c r="S21" s="17">
        <v>145.0</v>
      </c>
      <c r="T21" s="52"/>
      <c r="U21" s="52"/>
      <c r="V21" s="52"/>
    </row>
    <row r="22">
      <c r="B22" s="22" t="s">
        <v>157</v>
      </c>
      <c r="C22" s="48">
        <v>0.0</v>
      </c>
      <c r="D22" s="49" t="s">
        <v>178</v>
      </c>
      <c r="E22" s="48">
        <v>5300.0</v>
      </c>
      <c r="F22" s="48">
        <v>4450.0</v>
      </c>
      <c r="G22" s="48">
        <v>5000.0</v>
      </c>
      <c r="H22" s="48">
        <v>16350.0</v>
      </c>
      <c r="I22" s="48">
        <v>14300.0</v>
      </c>
      <c r="J22" s="48">
        <v>15700.0</v>
      </c>
      <c r="K22" s="48">
        <v>66000.0</v>
      </c>
      <c r="L22" s="48">
        <v>34000.0</v>
      </c>
      <c r="M22" s="48">
        <v>51000.0</v>
      </c>
      <c r="N22" s="48">
        <v>3800.0</v>
      </c>
      <c r="O22" s="48">
        <v>1800.0</v>
      </c>
      <c r="P22" s="48">
        <v>3100.0</v>
      </c>
      <c r="Q22" s="48">
        <v>180.0</v>
      </c>
      <c r="R22" s="48">
        <v>70.0</v>
      </c>
      <c r="S22" s="48">
        <v>100.0</v>
      </c>
      <c r="T22" s="51"/>
      <c r="U22" s="51"/>
      <c r="V22" s="51"/>
    </row>
    <row r="23">
      <c r="B23" s="22" t="s">
        <v>103</v>
      </c>
      <c r="C23" s="48">
        <v>1.0</v>
      </c>
      <c r="D23" s="48" t="s">
        <v>177</v>
      </c>
      <c r="E23" s="48">
        <v>5227.0</v>
      </c>
      <c r="F23" s="48">
        <v>3885.0</v>
      </c>
      <c r="G23" s="48">
        <v>4107.0</v>
      </c>
      <c r="H23" s="48">
        <v>16105.0</v>
      </c>
      <c r="I23" s="48">
        <v>11955.0</v>
      </c>
      <c r="J23" s="48">
        <v>13255.0</v>
      </c>
      <c r="K23" s="49">
        <v>107200.0</v>
      </c>
      <c r="L23" s="48">
        <v>34755.0</v>
      </c>
      <c r="M23" s="48">
        <v>84755.0</v>
      </c>
      <c r="N23" s="48">
        <v>5855.0</v>
      </c>
      <c r="O23" s="48">
        <v>1902.0</v>
      </c>
      <c r="P23" s="48">
        <v>3712.0</v>
      </c>
      <c r="Q23" s="48">
        <v>240.0</v>
      </c>
      <c r="R23" s="48">
        <v>55.0</v>
      </c>
      <c r="S23" s="48">
        <v>125.0</v>
      </c>
      <c r="T23" s="51">
        <v>2.27</v>
      </c>
      <c r="U23" s="51">
        <v>0.43</v>
      </c>
      <c r="V23" s="51">
        <v>1.1</v>
      </c>
    </row>
    <row r="24">
      <c r="B24" s="22" t="s">
        <v>91</v>
      </c>
      <c r="C24" s="48"/>
      <c r="D24" s="49" t="s">
        <v>178</v>
      </c>
      <c r="E24" s="48">
        <v>4988.0</v>
      </c>
      <c r="F24" s="48">
        <v>4588.0</v>
      </c>
      <c r="G24" s="48">
        <v>4969.0</v>
      </c>
      <c r="H24" s="48">
        <v>18369.0</v>
      </c>
      <c r="I24" s="48">
        <v>14745.0</v>
      </c>
      <c r="J24" s="48">
        <v>17869.0</v>
      </c>
      <c r="K24" s="48">
        <v>169069.0</v>
      </c>
      <c r="L24" s="48">
        <v>42288.0</v>
      </c>
      <c r="M24" s="48">
        <v>113069.0</v>
      </c>
      <c r="N24" s="48">
        <v>6969.0</v>
      </c>
      <c r="O24" s="48">
        <v>2269.0</v>
      </c>
      <c r="P24" s="48">
        <v>5969.0</v>
      </c>
      <c r="Q24" s="48"/>
      <c r="T24" s="52"/>
      <c r="U24" s="52"/>
      <c r="V24" s="52"/>
    </row>
    <row r="25">
      <c r="B25" s="22" t="s">
        <v>109</v>
      </c>
      <c r="C25" s="48">
        <v>0.0</v>
      </c>
      <c r="D25" s="48" t="s">
        <v>181</v>
      </c>
      <c r="E25" s="48">
        <v>5252.0</v>
      </c>
      <c r="F25" s="48">
        <v>4242.0</v>
      </c>
      <c r="G25" s="48">
        <v>4848.0</v>
      </c>
      <c r="H25" s="48">
        <v>17171.0</v>
      </c>
      <c r="I25" s="48">
        <v>14141.0</v>
      </c>
      <c r="J25" s="48">
        <v>15151.0</v>
      </c>
      <c r="K25" s="48">
        <v>84848.0</v>
      </c>
      <c r="L25" s="48">
        <v>34343.0</v>
      </c>
      <c r="M25" s="48">
        <v>64646.0</v>
      </c>
      <c r="N25" s="48">
        <v>6464.0</v>
      </c>
      <c r="O25" s="48">
        <v>1818.0</v>
      </c>
      <c r="P25" s="48">
        <v>4444.0</v>
      </c>
      <c r="Q25" s="48">
        <v>180.0</v>
      </c>
      <c r="R25" s="48">
        <v>62.0</v>
      </c>
      <c r="S25" s="48">
        <v>150.0</v>
      </c>
      <c r="T25" s="52"/>
      <c r="U25" s="52"/>
      <c r="V25" s="52"/>
    </row>
    <row r="26">
      <c r="B26" s="22" t="s">
        <v>189</v>
      </c>
      <c r="C26" s="48">
        <v>0.0</v>
      </c>
      <c r="D26" s="49" t="s">
        <v>178</v>
      </c>
      <c r="E26" s="48">
        <v>5420.0</v>
      </c>
      <c r="F26" s="48">
        <v>4444.0</v>
      </c>
      <c r="G26" s="48">
        <v>5269.0</v>
      </c>
      <c r="H26" s="48">
        <v>16942.0</v>
      </c>
      <c r="I26" s="48">
        <v>14321.0</v>
      </c>
      <c r="J26" s="48">
        <v>16669.0</v>
      </c>
      <c r="K26" s="48">
        <v>88888.0</v>
      </c>
      <c r="L26" s="48">
        <v>33333.0</v>
      </c>
      <c r="M26" s="48">
        <v>77777.0</v>
      </c>
      <c r="N26" s="48">
        <v>6666.0</v>
      </c>
      <c r="O26" s="48">
        <v>1888.0</v>
      </c>
      <c r="P26" s="48">
        <v>5555.0</v>
      </c>
      <c r="Q26" s="49">
        <v>269.0</v>
      </c>
      <c r="R26" s="48">
        <v>60.0</v>
      </c>
      <c r="S26" s="49">
        <v>222.0</v>
      </c>
      <c r="T26" s="52"/>
      <c r="U26" s="52"/>
      <c r="V26" s="52"/>
    </row>
    <row r="27">
      <c r="B27" s="22" t="s">
        <v>190</v>
      </c>
      <c r="C27" s="48">
        <v>0.0</v>
      </c>
      <c r="D27" s="49" t="s">
        <v>178</v>
      </c>
      <c r="E27" s="48"/>
      <c r="F27" s="48"/>
      <c r="G27" s="48"/>
      <c r="H27" s="48"/>
      <c r="I27" s="48"/>
      <c r="J27" s="48"/>
      <c r="K27" s="48">
        <v>62000.0</v>
      </c>
      <c r="L27" s="48">
        <v>28400.0</v>
      </c>
      <c r="M27" s="48">
        <v>62000.0</v>
      </c>
      <c r="N27" s="48">
        <v>4375.0</v>
      </c>
      <c r="O27" s="48">
        <v>1480.0</v>
      </c>
      <c r="P27" s="48">
        <v>3900.0</v>
      </c>
      <c r="Q27" s="48">
        <v>169.0</v>
      </c>
      <c r="R27" s="48">
        <v>38.0</v>
      </c>
      <c r="S27" s="48">
        <v>120.0</v>
      </c>
      <c r="T27" s="52"/>
      <c r="U27" s="52"/>
      <c r="V27" s="52"/>
    </row>
    <row r="28">
      <c r="B28" s="22" t="s">
        <v>40</v>
      </c>
      <c r="C28" s="48">
        <v>0.0</v>
      </c>
      <c r="D28" s="49" t="s">
        <v>178</v>
      </c>
      <c r="E28" s="48">
        <v>5500.0</v>
      </c>
      <c r="F28" s="48">
        <v>3900.0</v>
      </c>
      <c r="G28" s="48">
        <v>5400.0</v>
      </c>
      <c r="H28" s="48">
        <v>18000.0</v>
      </c>
      <c r="I28" s="48">
        <v>13000.0</v>
      </c>
      <c r="J28" s="48">
        <v>17500.0</v>
      </c>
      <c r="K28" s="48">
        <v>80000.0</v>
      </c>
      <c r="L28" s="48">
        <v>40000.0</v>
      </c>
      <c r="M28" s="48">
        <v>65000.0</v>
      </c>
      <c r="N28" s="48">
        <v>5000.0</v>
      </c>
      <c r="O28" s="48">
        <v>2300.0</v>
      </c>
      <c r="P28" s="48">
        <v>4500.0</v>
      </c>
      <c r="Q28" s="43"/>
      <c r="R28" s="43"/>
      <c r="S28" s="43"/>
      <c r="T28" s="52"/>
      <c r="U28" s="52"/>
      <c r="V28" s="52"/>
    </row>
    <row r="29">
      <c r="B29" s="22" t="s">
        <v>191</v>
      </c>
      <c r="C29" s="11">
        <v>0.0</v>
      </c>
      <c r="D29" s="11" t="s">
        <v>177</v>
      </c>
      <c r="E29" s="11">
        <v>5300.0</v>
      </c>
      <c r="F29" s="11">
        <v>4500.0</v>
      </c>
      <c r="G29" s="11">
        <v>5000.0</v>
      </c>
      <c r="H29" s="11">
        <v>18000.0</v>
      </c>
      <c r="I29" s="11">
        <v>15500.0</v>
      </c>
      <c r="J29" s="11">
        <v>17500.0</v>
      </c>
      <c r="K29" s="11">
        <v>74000.0</v>
      </c>
      <c r="L29" s="56">
        <v>39000.0</v>
      </c>
      <c r="M29" s="11">
        <v>55000.0</v>
      </c>
      <c r="N29" s="56">
        <v>4000.0</v>
      </c>
      <c r="O29" s="11">
        <v>2100.0</v>
      </c>
      <c r="P29" s="11">
        <v>3000.0</v>
      </c>
      <c r="Q29" s="11">
        <v>150.0</v>
      </c>
      <c r="R29" s="11">
        <v>80.0</v>
      </c>
      <c r="S29" s="11">
        <v>110.0</v>
      </c>
      <c r="T29" s="16">
        <v>1.25</v>
      </c>
      <c r="U29" s="16">
        <v>0.55</v>
      </c>
      <c r="V29" s="16">
        <v>0.6</v>
      </c>
    </row>
    <row r="34">
      <c r="B34" s="18" t="s">
        <v>60</v>
      </c>
      <c r="C34" s="57">
        <f>AVERAGE(C2:C29)</f>
        <v>0.1111111111</v>
      </c>
      <c r="D34" s="57"/>
      <c r="E34" s="42">
        <f t="shared" ref="E34:V34" si="1">AVERAGE(E2:E29)</f>
        <v>5398.518519</v>
      </c>
      <c r="F34" s="42">
        <f t="shared" si="1"/>
        <v>4311.814815</v>
      </c>
      <c r="G34" s="42">
        <f t="shared" si="1"/>
        <v>5029.333333</v>
      </c>
      <c r="H34" s="42">
        <f t="shared" si="1"/>
        <v>17237.875</v>
      </c>
      <c r="I34" s="42">
        <f t="shared" si="1"/>
        <v>13613.25</v>
      </c>
      <c r="J34" s="42">
        <f t="shared" si="1"/>
        <v>15882.58333</v>
      </c>
      <c r="K34" s="42">
        <f t="shared" si="1"/>
        <v>86041.91923</v>
      </c>
      <c r="L34" s="42">
        <f t="shared" si="1"/>
        <v>34232.59259</v>
      </c>
      <c r="M34" s="42">
        <f t="shared" si="1"/>
        <v>70654.37037</v>
      </c>
      <c r="N34" s="42">
        <f t="shared" si="1"/>
        <v>5811.979259</v>
      </c>
      <c r="O34" s="42">
        <f t="shared" si="1"/>
        <v>1922.06963</v>
      </c>
      <c r="P34" s="42">
        <f t="shared" si="1"/>
        <v>4621.481481</v>
      </c>
      <c r="Q34" s="42">
        <f t="shared" si="1"/>
        <v>266.2681818</v>
      </c>
      <c r="R34" s="42">
        <f t="shared" si="1"/>
        <v>62.59090909</v>
      </c>
      <c r="S34" s="42">
        <f t="shared" si="1"/>
        <v>155.3043478</v>
      </c>
      <c r="T34" s="42">
        <f t="shared" si="1"/>
        <v>2.154285714</v>
      </c>
      <c r="U34" s="42">
        <f t="shared" si="1"/>
        <v>0.4185714286</v>
      </c>
      <c r="V34" s="42">
        <f t="shared" si="1"/>
        <v>1.388</v>
      </c>
    </row>
    <row r="35">
      <c r="B35" s="18" t="s">
        <v>61</v>
      </c>
      <c r="C35" s="43">
        <f>MEDIAN(C2:C29)</f>
        <v>0</v>
      </c>
      <c r="D35" s="43"/>
      <c r="E35" s="42">
        <f t="shared" ref="E35:V35" si="2">MEDIAN(E2:E29)</f>
        <v>5420</v>
      </c>
      <c r="F35" s="42">
        <f t="shared" si="2"/>
        <v>4400</v>
      </c>
      <c r="G35" s="42">
        <f t="shared" si="2"/>
        <v>5026</v>
      </c>
      <c r="H35" s="42">
        <f t="shared" si="2"/>
        <v>17185.5</v>
      </c>
      <c r="I35" s="42">
        <f t="shared" si="2"/>
        <v>14170.5</v>
      </c>
      <c r="J35" s="42">
        <f t="shared" si="2"/>
        <v>16350</v>
      </c>
      <c r="K35" s="42">
        <f t="shared" si="2"/>
        <v>82424</v>
      </c>
      <c r="L35" s="42">
        <f t="shared" si="2"/>
        <v>34000</v>
      </c>
      <c r="M35" s="42">
        <f t="shared" si="2"/>
        <v>65000</v>
      </c>
      <c r="N35" s="42">
        <f t="shared" si="2"/>
        <v>5600</v>
      </c>
      <c r="O35" s="42">
        <f t="shared" si="2"/>
        <v>1900</v>
      </c>
      <c r="P35" s="42">
        <f t="shared" si="2"/>
        <v>4000</v>
      </c>
      <c r="Q35" s="42">
        <f t="shared" si="2"/>
        <v>245</v>
      </c>
      <c r="R35" s="42">
        <f t="shared" si="2"/>
        <v>61</v>
      </c>
      <c r="S35" s="42">
        <f t="shared" si="2"/>
        <v>140</v>
      </c>
      <c r="T35" s="42">
        <f t="shared" si="2"/>
        <v>1.75</v>
      </c>
      <c r="U35" s="42">
        <f t="shared" si="2"/>
        <v>0.415</v>
      </c>
      <c r="V35" s="42">
        <f t="shared" si="2"/>
        <v>1.1</v>
      </c>
    </row>
    <row r="36">
      <c r="B36" s="18" t="s">
        <v>62</v>
      </c>
      <c r="C36" s="48">
        <v>0.0</v>
      </c>
      <c r="D36" s="43"/>
      <c r="E36" s="42">
        <f t="shared" ref="E36:V36" si="3">MIN(E2:E29)</f>
        <v>4818</v>
      </c>
      <c r="F36" s="42">
        <f t="shared" si="3"/>
        <v>3500</v>
      </c>
      <c r="G36" s="42">
        <f t="shared" si="3"/>
        <v>3500</v>
      </c>
      <c r="H36" s="42">
        <f t="shared" si="3"/>
        <v>15200</v>
      </c>
      <c r="I36" s="42">
        <f t="shared" si="3"/>
        <v>10100</v>
      </c>
      <c r="J36" s="42">
        <f t="shared" si="3"/>
        <v>10100</v>
      </c>
      <c r="K36" s="42">
        <f t="shared" si="3"/>
        <v>46000</v>
      </c>
      <c r="L36" s="42">
        <f t="shared" si="3"/>
        <v>26662</v>
      </c>
      <c r="M36" s="42">
        <f t="shared" si="3"/>
        <v>40000</v>
      </c>
      <c r="N36" s="42">
        <f t="shared" si="3"/>
        <v>2900</v>
      </c>
      <c r="O36" s="42">
        <f t="shared" si="3"/>
        <v>1480</v>
      </c>
      <c r="P36" s="42">
        <f t="shared" si="3"/>
        <v>2400</v>
      </c>
      <c r="Q36" s="42">
        <f t="shared" si="3"/>
        <v>119.9</v>
      </c>
      <c r="R36" s="42">
        <f t="shared" si="3"/>
        <v>25</v>
      </c>
      <c r="S36" s="42">
        <f t="shared" si="3"/>
        <v>0</v>
      </c>
      <c r="T36" s="42">
        <f t="shared" si="3"/>
        <v>0.8</v>
      </c>
      <c r="U36" s="42">
        <f t="shared" si="3"/>
        <v>0.3</v>
      </c>
      <c r="V36" s="42">
        <f t="shared" si="3"/>
        <v>0</v>
      </c>
    </row>
    <row r="37">
      <c r="B37" s="18" t="s">
        <v>63</v>
      </c>
      <c r="C37" s="48">
        <v>1.0</v>
      </c>
      <c r="D37" s="43"/>
      <c r="E37" s="42">
        <f t="shared" ref="E37:V37" si="4">MAX(E2:E29)</f>
        <v>6000</v>
      </c>
      <c r="F37" s="42">
        <f t="shared" si="4"/>
        <v>4769</v>
      </c>
      <c r="G37" s="42">
        <f t="shared" si="4"/>
        <v>6000</v>
      </c>
      <c r="H37" s="42">
        <f t="shared" si="4"/>
        <v>19500</v>
      </c>
      <c r="I37" s="42">
        <f t="shared" si="4"/>
        <v>15500</v>
      </c>
      <c r="J37" s="42">
        <f t="shared" si="4"/>
        <v>19500</v>
      </c>
      <c r="K37" s="42">
        <f t="shared" si="4"/>
        <v>169069</v>
      </c>
      <c r="L37" s="42">
        <f t="shared" si="4"/>
        <v>42288</v>
      </c>
      <c r="M37" s="42">
        <f t="shared" si="4"/>
        <v>135000</v>
      </c>
      <c r="N37" s="42">
        <f t="shared" si="4"/>
        <v>12000</v>
      </c>
      <c r="O37" s="42">
        <f t="shared" si="4"/>
        <v>2300</v>
      </c>
      <c r="P37" s="42">
        <f t="shared" si="4"/>
        <v>10250</v>
      </c>
      <c r="Q37" s="42">
        <f t="shared" si="4"/>
        <v>700</v>
      </c>
      <c r="R37" s="42">
        <f t="shared" si="4"/>
        <v>95</v>
      </c>
      <c r="S37" s="42">
        <f t="shared" si="4"/>
        <v>560</v>
      </c>
      <c r="T37" s="42">
        <f t="shared" si="4"/>
        <v>5</v>
      </c>
      <c r="U37" s="42">
        <f t="shared" si="4"/>
        <v>0.55</v>
      </c>
      <c r="V37" s="42">
        <f t="shared" si="4"/>
        <v>4.2</v>
      </c>
    </row>
    <row r="38">
      <c r="B38" s="18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T38" s="52"/>
      <c r="U38" s="52"/>
      <c r="V38" s="52"/>
    </row>
    <row r="39">
      <c r="B39" s="44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T39" s="52"/>
      <c r="U39" s="52"/>
      <c r="V39" s="52"/>
    </row>
    <row r="40">
      <c r="B40" s="44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T40" s="52"/>
      <c r="U40" s="52"/>
      <c r="V40" s="52"/>
    </row>
    <row r="41">
      <c r="B41" s="44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T41" s="52"/>
      <c r="U41" s="52"/>
      <c r="V41" s="52"/>
    </row>
    <row r="42"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T42" s="52"/>
      <c r="U42" s="52"/>
      <c r="V42" s="52"/>
    </row>
    <row r="43">
      <c r="B43" s="44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T43" s="52"/>
      <c r="U43" s="52"/>
      <c r="V43" s="52"/>
    </row>
    <row r="44">
      <c r="B44" s="44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T44" s="52"/>
      <c r="U44" s="52"/>
      <c r="V44" s="52"/>
    </row>
    <row r="45">
      <c r="B45" s="44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T45" s="52"/>
      <c r="U45" s="52"/>
      <c r="V45" s="52"/>
    </row>
    <row r="46">
      <c r="B46" s="44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T46" s="52"/>
      <c r="U46" s="52"/>
      <c r="V46" s="52"/>
    </row>
    <row r="47">
      <c r="B47" s="44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T47" s="52"/>
      <c r="U47" s="52"/>
      <c r="V47" s="52"/>
    </row>
    <row r="48">
      <c r="B48" s="44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T48" s="52"/>
      <c r="U48" s="52"/>
      <c r="V48" s="52"/>
    </row>
    <row r="49">
      <c r="B49" s="44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T49" s="52"/>
      <c r="U49" s="52"/>
      <c r="V49" s="52"/>
    </row>
    <row r="50">
      <c r="B50" s="44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T50" s="52"/>
      <c r="U50" s="52"/>
      <c r="V50" s="52"/>
    </row>
    <row r="51">
      <c r="B51" s="44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T51" s="52"/>
      <c r="U51" s="52"/>
      <c r="V51" s="52"/>
    </row>
    <row r="52">
      <c r="B52" s="44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T52" s="52"/>
      <c r="U52" s="52"/>
      <c r="V52" s="52"/>
    </row>
    <row r="53">
      <c r="B53" s="44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T53" s="52"/>
      <c r="U53" s="52"/>
      <c r="V53" s="52"/>
    </row>
    <row r="54">
      <c r="B54" s="44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T54" s="52"/>
      <c r="U54" s="52"/>
      <c r="V54" s="52"/>
    </row>
    <row r="55">
      <c r="B55" s="44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T55" s="52"/>
      <c r="U55" s="52"/>
      <c r="V55" s="52"/>
    </row>
    <row r="56">
      <c r="B56" s="44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T56" s="52"/>
      <c r="U56" s="52"/>
      <c r="V56" s="52"/>
    </row>
    <row r="57">
      <c r="B57" s="44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T57" s="52"/>
      <c r="U57" s="52"/>
      <c r="V57" s="52"/>
    </row>
    <row r="58">
      <c r="B58" s="44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T58" s="52"/>
      <c r="U58" s="52"/>
      <c r="V58" s="52"/>
    </row>
    <row r="59">
      <c r="B59" s="44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T59" s="52"/>
      <c r="U59" s="52"/>
      <c r="V59" s="52"/>
    </row>
    <row r="60">
      <c r="B60" s="44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T60" s="52"/>
      <c r="U60" s="52"/>
      <c r="V60" s="52"/>
    </row>
    <row r="61">
      <c r="B61" s="44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T61" s="52"/>
      <c r="U61" s="52"/>
      <c r="V61" s="52"/>
    </row>
    <row r="62">
      <c r="B62" s="44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T62" s="52"/>
      <c r="U62" s="52"/>
      <c r="V62" s="52"/>
    </row>
    <row r="63">
      <c r="B63" s="44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T63" s="52"/>
      <c r="U63" s="52"/>
      <c r="V63" s="52"/>
    </row>
    <row r="64">
      <c r="B64" s="44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T64" s="52"/>
      <c r="U64" s="52"/>
      <c r="V64" s="52"/>
    </row>
    <row r="65">
      <c r="B65" s="44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T65" s="52"/>
      <c r="U65" s="52"/>
      <c r="V65" s="52"/>
    </row>
    <row r="66">
      <c r="B66" s="44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T66" s="52"/>
      <c r="U66" s="52"/>
      <c r="V66" s="52"/>
    </row>
    <row r="67">
      <c r="B67" s="44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T67" s="52"/>
      <c r="U67" s="52"/>
      <c r="V67" s="52"/>
    </row>
    <row r="68">
      <c r="B68" s="44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T68" s="52"/>
      <c r="U68" s="52"/>
      <c r="V68" s="52"/>
    </row>
    <row r="69">
      <c r="B69" s="44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T69" s="52"/>
      <c r="U69" s="52"/>
      <c r="V69" s="52"/>
    </row>
    <row r="70">
      <c r="B70" s="44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T70" s="52"/>
      <c r="U70" s="52"/>
      <c r="V70" s="52"/>
    </row>
    <row r="71">
      <c r="B71" s="44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T71" s="52"/>
      <c r="U71" s="52"/>
      <c r="V71" s="52"/>
    </row>
    <row r="72">
      <c r="B72" s="44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T72" s="52"/>
      <c r="U72" s="52"/>
      <c r="V72" s="52"/>
    </row>
    <row r="73">
      <c r="B73" s="44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T73" s="52"/>
      <c r="U73" s="52"/>
      <c r="V73" s="52"/>
    </row>
    <row r="74">
      <c r="B74" s="44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T74" s="52"/>
      <c r="U74" s="52"/>
      <c r="V74" s="52"/>
    </row>
    <row r="75">
      <c r="B75" s="44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T75" s="52"/>
      <c r="U75" s="52"/>
      <c r="V75" s="52"/>
    </row>
    <row r="76">
      <c r="B76" s="44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T76" s="52"/>
      <c r="U76" s="52"/>
      <c r="V76" s="52"/>
    </row>
    <row r="77">
      <c r="B77" s="44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T77" s="52"/>
      <c r="U77" s="52"/>
      <c r="V77" s="52"/>
    </row>
    <row r="78"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T78" s="52"/>
      <c r="U78" s="52"/>
      <c r="V78" s="52"/>
    </row>
    <row r="79"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T79" s="52"/>
      <c r="U79" s="52"/>
      <c r="V79" s="52"/>
    </row>
    <row r="80"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T80" s="52"/>
      <c r="U80" s="52"/>
      <c r="V80" s="52"/>
    </row>
    <row r="81">
      <c r="B81" s="44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T81" s="52"/>
      <c r="U81" s="52"/>
      <c r="V81" s="52"/>
    </row>
    <row r="82">
      <c r="B82" s="44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T82" s="52"/>
      <c r="U82" s="52"/>
      <c r="V82" s="52"/>
    </row>
    <row r="83">
      <c r="B83" s="44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T83" s="52"/>
      <c r="U83" s="52"/>
      <c r="V83" s="52"/>
    </row>
    <row r="84"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T84" s="52"/>
      <c r="U84" s="52"/>
      <c r="V84" s="52"/>
    </row>
    <row r="85"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T85" s="52"/>
      <c r="U85" s="52"/>
      <c r="V85" s="52"/>
    </row>
    <row r="86">
      <c r="B86" s="44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T86" s="52"/>
      <c r="U86" s="52"/>
      <c r="V86" s="52"/>
    </row>
    <row r="87">
      <c r="B87" s="44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T87" s="52"/>
      <c r="U87" s="52"/>
      <c r="V87" s="52"/>
    </row>
    <row r="88">
      <c r="B88" s="44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T88" s="52"/>
      <c r="U88" s="52"/>
      <c r="V88" s="52"/>
    </row>
    <row r="89">
      <c r="B89" s="44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T89" s="52"/>
      <c r="U89" s="52"/>
      <c r="V89" s="52"/>
    </row>
    <row r="90">
      <c r="B90" s="44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T90" s="52"/>
      <c r="U90" s="52"/>
      <c r="V90" s="52"/>
    </row>
    <row r="91">
      <c r="B91" s="44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T91" s="52"/>
      <c r="U91" s="52"/>
      <c r="V91" s="52"/>
    </row>
    <row r="92">
      <c r="B92" s="44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T92" s="52"/>
      <c r="U92" s="52"/>
      <c r="V92" s="52"/>
    </row>
    <row r="93">
      <c r="B93" s="44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T93" s="52"/>
      <c r="U93" s="52"/>
      <c r="V93" s="52"/>
    </row>
    <row r="94"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T94" s="52"/>
      <c r="U94" s="52"/>
      <c r="V94" s="52"/>
    </row>
    <row r="95"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T95" s="52"/>
      <c r="U95" s="52"/>
      <c r="V95" s="52"/>
    </row>
    <row r="96">
      <c r="B96" s="44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T96" s="52"/>
      <c r="U96" s="52"/>
      <c r="V96" s="52"/>
    </row>
    <row r="97">
      <c r="B97" s="44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T97" s="52"/>
      <c r="U97" s="52"/>
      <c r="V97" s="52"/>
    </row>
    <row r="98">
      <c r="B98" s="44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T98" s="52"/>
      <c r="U98" s="52"/>
      <c r="V98" s="52"/>
    </row>
    <row r="99">
      <c r="B99" s="44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T99" s="52"/>
      <c r="U99" s="52"/>
      <c r="V99" s="52"/>
    </row>
    <row r="100">
      <c r="B100" s="44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T100" s="52"/>
      <c r="U100" s="52"/>
      <c r="V100" s="52"/>
    </row>
    <row r="101">
      <c r="B101" s="44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T101" s="52"/>
      <c r="U101" s="52"/>
      <c r="V101" s="52"/>
    </row>
    <row r="102">
      <c r="B102" s="44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T102" s="52"/>
      <c r="U102" s="52"/>
      <c r="V102" s="52"/>
    </row>
    <row r="103">
      <c r="B103" s="44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T103" s="52"/>
      <c r="U103" s="52"/>
      <c r="V103" s="52"/>
    </row>
    <row r="104">
      <c r="B104" s="44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T104" s="52"/>
      <c r="U104" s="52"/>
      <c r="V104" s="52"/>
    </row>
    <row r="105">
      <c r="B105" s="44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T105" s="52"/>
      <c r="U105" s="52"/>
      <c r="V105" s="52"/>
    </row>
    <row r="106">
      <c r="B106" s="44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T106" s="52"/>
      <c r="U106" s="52"/>
      <c r="V106" s="52"/>
    </row>
    <row r="107">
      <c r="B107" s="44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T107" s="52"/>
      <c r="U107" s="52"/>
      <c r="V107" s="52"/>
    </row>
    <row r="108">
      <c r="B108" s="4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T108" s="52"/>
      <c r="U108" s="52"/>
      <c r="V108" s="52"/>
    </row>
    <row r="109">
      <c r="B109" s="44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T109" s="52"/>
      <c r="U109" s="52"/>
      <c r="V109" s="52"/>
    </row>
    <row r="110">
      <c r="B110" s="4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T110" s="52"/>
      <c r="U110" s="52"/>
      <c r="V110" s="52"/>
    </row>
    <row r="111">
      <c r="B111" s="44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T111" s="52"/>
      <c r="U111" s="52"/>
      <c r="V111" s="52"/>
    </row>
    <row r="112">
      <c r="B112" s="44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T112" s="52"/>
      <c r="U112" s="52"/>
      <c r="V112" s="52"/>
    </row>
    <row r="113">
      <c r="B113" s="44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T113" s="52"/>
      <c r="U113" s="52"/>
      <c r="V113" s="52"/>
    </row>
    <row r="114">
      <c r="B114" s="44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T114" s="52"/>
      <c r="U114" s="52"/>
      <c r="V114" s="52"/>
    </row>
    <row r="115">
      <c r="B115" s="44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T115" s="52"/>
      <c r="U115" s="52"/>
      <c r="V115" s="52"/>
    </row>
    <row r="116">
      <c r="B116" s="44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T116" s="52"/>
      <c r="U116" s="52"/>
      <c r="V116" s="52"/>
    </row>
    <row r="117">
      <c r="B117" s="4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T117" s="52"/>
      <c r="U117" s="52"/>
      <c r="V117" s="52"/>
    </row>
    <row r="118">
      <c r="B118" s="44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T118" s="52"/>
      <c r="U118" s="52"/>
      <c r="V118" s="52"/>
    </row>
    <row r="119">
      <c r="B119" s="44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T119" s="52"/>
      <c r="U119" s="52"/>
      <c r="V119" s="52"/>
    </row>
    <row r="120">
      <c r="B120" s="4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T120" s="52"/>
      <c r="U120" s="52"/>
      <c r="V120" s="52"/>
    </row>
    <row r="121">
      <c r="B121" s="44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T121" s="52"/>
      <c r="U121" s="52"/>
      <c r="V121" s="52"/>
    </row>
    <row r="122">
      <c r="B122" s="4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T122" s="52"/>
      <c r="U122" s="52"/>
      <c r="V122" s="52"/>
    </row>
    <row r="123">
      <c r="B123" s="44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T123" s="52"/>
      <c r="U123" s="52"/>
      <c r="V123" s="52"/>
    </row>
    <row r="124">
      <c r="B124" s="44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T124" s="52"/>
      <c r="U124" s="52"/>
      <c r="V124" s="52"/>
    </row>
    <row r="125">
      <c r="B125" s="44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T125" s="52"/>
      <c r="U125" s="52"/>
      <c r="V125" s="52"/>
    </row>
    <row r="126">
      <c r="B126" s="44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T126" s="52"/>
      <c r="U126" s="52"/>
      <c r="V126" s="52"/>
    </row>
    <row r="127">
      <c r="B127" s="44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T127" s="52"/>
      <c r="U127" s="52"/>
      <c r="V127" s="52"/>
    </row>
    <row r="128">
      <c r="B128" s="4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T128" s="52"/>
      <c r="U128" s="52"/>
      <c r="V128" s="52"/>
    </row>
    <row r="129">
      <c r="B129" s="44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T129" s="52"/>
      <c r="U129" s="52"/>
      <c r="V129" s="52"/>
    </row>
    <row r="130">
      <c r="B130" s="44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T130" s="52"/>
      <c r="U130" s="52"/>
      <c r="V130" s="52"/>
    </row>
    <row r="131">
      <c r="B131" s="44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T131" s="52"/>
      <c r="U131" s="52"/>
      <c r="V131" s="52"/>
    </row>
    <row r="132">
      <c r="B132" s="44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T132" s="52"/>
      <c r="U132" s="52"/>
      <c r="V132" s="52"/>
    </row>
    <row r="133">
      <c r="B133" s="44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T133" s="52"/>
      <c r="U133" s="52"/>
      <c r="V133" s="52"/>
    </row>
    <row r="134">
      <c r="B134" s="44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T134" s="52"/>
      <c r="U134" s="52"/>
      <c r="V134" s="52"/>
    </row>
    <row r="135">
      <c r="B135" s="44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T135" s="52"/>
      <c r="U135" s="52"/>
      <c r="V135" s="52"/>
    </row>
    <row r="136">
      <c r="B136" s="44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T136" s="52"/>
      <c r="U136" s="52"/>
      <c r="V136" s="52"/>
    </row>
    <row r="137">
      <c r="B137" s="44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T137" s="52"/>
      <c r="U137" s="52"/>
      <c r="V137" s="52"/>
    </row>
    <row r="138">
      <c r="B138" s="44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T138" s="52"/>
      <c r="U138" s="52"/>
      <c r="V138" s="52"/>
    </row>
    <row r="139">
      <c r="B139" s="44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T139" s="52"/>
      <c r="U139" s="52"/>
      <c r="V139" s="52"/>
    </row>
    <row r="140">
      <c r="B140" s="44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T140" s="52"/>
      <c r="U140" s="52"/>
      <c r="V140" s="52"/>
    </row>
    <row r="141">
      <c r="B141" s="44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T141" s="52"/>
      <c r="U141" s="52"/>
      <c r="V141" s="52"/>
    </row>
    <row r="142">
      <c r="B142" s="44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T142" s="52"/>
      <c r="U142" s="52"/>
      <c r="V142" s="52"/>
    </row>
    <row r="143">
      <c r="B143" s="44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T143" s="52"/>
      <c r="U143" s="52"/>
      <c r="V143" s="52"/>
    </row>
    <row r="144">
      <c r="B144" s="44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T144" s="52"/>
      <c r="U144" s="52"/>
      <c r="V144" s="52"/>
    </row>
    <row r="145">
      <c r="B145" s="44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T145" s="52"/>
      <c r="U145" s="52"/>
      <c r="V145" s="52"/>
    </row>
    <row r="146">
      <c r="B146" s="44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T146" s="52"/>
      <c r="U146" s="52"/>
      <c r="V146" s="52"/>
    </row>
    <row r="147">
      <c r="B147" s="44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T147" s="52"/>
      <c r="U147" s="52"/>
      <c r="V147" s="52"/>
    </row>
    <row r="148">
      <c r="B148" s="44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T148" s="52"/>
      <c r="U148" s="52"/>
      <c r="V148" s="52"/>
    </row>
    <row r="149">
      <c r="B149" s="44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T149" s="52"/>
      <c r="U149" s="52"/>
      <c r="V149" s="52"/>
    </row>
    <row r="150">
      <c r="B150" s="44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T150" s="52"/>
      <c r="U150" s="52"/>
      <c r="V150" s="52"/>
    </row>
    <row r="151">
      <c r="B151" s="44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T151" s="52"/>
      <c r="U151" s="52"/>
      <c r="V151" s="52"/>
    </row>
    <row r="152">
      <c r="B152" s="44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T152" s="52"/>
      <c r="U152" s="52"/>
      <c r="V152" s="52"/>
    </row>
    <row r="153">
      <c r="B153" s="44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T153" s="52"/>
      <c r="U153" s="52"/>
      <c r="V153" s="52"/>
    </row>
    <row r="154">
      <c r="B154" s="44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T154" s="52"/>
      <c r="U154" s="52"/>
      <c r="V154" s="52"/>
    </row>
    <row r="155">
      <c r="B155" s="44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T155" s="52"/>
      <c r="U155" s="52"/>
      <c r="V155" s="52"/>
    </row>
    <row r="156">
      <c r="B156" s="44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T156" s="52"/>
      <c r="U156" s="52"/>
      <c r="V156" s="52"/>
    </row>
    <row r="157">
      <c r="B157" s="44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T157" s="52"/>
      <c r="U157" s="52"/>
      <c r="V157" s="52"/>
    </row>
    <row r="158">
      <c r="B158" s="44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T158" s="52"/>
      <c r="U158" s="52"/>
      <c r="V158" s="52"/>
    </row>
    <row r="159">
      <c r="B159" s="44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T159" s="52"/>
      <c r="U159" s="52"/>
      <c r="V159" s="52"/>
    </row>
    <row r="160">
      <c r="B160" s="44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T160" s="52"/>
      <c r="U160" s="52"/>
      <c r="V160" s="52"/>
    </row>
    <row r="161">
      <c r="B161" s="44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T161" s="52"/>
      <c r="U161" s="52"/>
      <c r="V161" s="52"/>
    </row>
    <row r="162">
      <c r="B162" s="44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T162" s="52"/>
      <c r="U162" s="52"/>
      <c r="V162" s="52"/>
    </row>
    <row r="163">
      <c r="B163" s="44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T163" s="52"/>
      <c r="U163" s="52"/>
      <c r="V163" s="52"/>
    </row>
    <row r="164">
      <c r="B164" s="44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T164" s="52"/>
      <c r="U164" s="52"/>
      <c r="V164" s="52"/>
    </row>
    <row r="165">
      <c r="B165" s="44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T165" s="52"/>
      <c r="U165" s="52"/>
      <c r="V165" s="52"/>
    </row>
    <row r="166">
      <c r="B166" s="44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T166" s="52"/>
      <c r="U166" s="52"/>
      <c r="V166" s="52"/>
    </row>
    <row r="167">
      <c r="B167" s="44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T167" s="52"/>
      <c r="U167" s="52"/>
      <c r="V167" s="52"/>
    </row>
    <row r="168">
      <c r="B168" s="44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T168" s="52"/>
      <c r="U168" s="52"/>
      <c r="V168" s="52"/>
    </row>
    <row r="169">
      <c r="B169" s="44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T169" s="52"/>
      <c r="U169" s="52"/>
      <c r="V169" s="52"/>
    </row>
    <row r="170">
      <c r="B170" s="44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T170" s="52"/>
      <c r="U170" s="52"/>
      <c r="V170" s="52"/>
    </row>
    <row r="171">
      <c r="B171" s="44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T171" s="52"/>
      <c r="U171" s="52"/>
      <c r="V171" s="52"/>
    </row>
    <row r="172">
      <c r="B172" s="44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T172" s="52"/>
      <c r="U172" s="52"/>
      <c r="V172" s="52"/>
    </row>
    <row r="173">
      <c r="B173" s="44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T173" s="52"/>
      <c r="U173" s="52"/>
      <c r="V173" s="52"/>
    </row>
    <row r="174">
      <c r="B174" s="44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T174" s="52"/>
      <c r="U174" s="52"/>
      <c r="V174" s="52"/>
    </row>
    <row r="175">
      <c r="B175" s="44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T175" s="52"/>
      <c r="U175" s="52"/>
      <c r="V175" s="52"/>
    </row>
    <row r="176">
      <c r="B176" s="44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T176" s="52"/>
      <c r="U176" s="52"/>
      <c r="V176" s="52"/>
    </row>
    <row r="177">
      <c r="B177" s="44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T177" s="52"/>
      <c r="U177" s="52"/>
      <c r="V177" s="52"/>
    </row>
    <row r="178">
      <c r="B178" s="44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T178" s="52"/>
      <c r="U178" s="52"/>
      <c r="V178" s="52"/>
    </row>
    <row r="179">
      <c r="B179" s="44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T179" s="52"/>
      <c r="U179" s="52"/>
      <c r="V179" s="52"/>
    </row>
    <row r="180">
      <c r="B180" s="44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T180" s="52"/>
      <c r="U180" s="52"/>
      <c r="V180" s="52"/>
    </row>
    <row r="181">
      <c r="B181" s="44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T181" s="52"/>
      <c r="U181" s="52"/>
      <c r="V181" s="52"/>
    </row>
    <row r="182">
      <c r="B182" s="44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T182" s="52"/>
      <c r="U182" s="52"/>
      <c r="V182" s="52"/>
    </row>
    <row r="183">
      <c r="B183" s="44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T183" s="52"/>
      <c r="U183" s="52"/>
      <c r="V183" s="52"/>
    </row>
    <row r="184">
      <c r="B184" s="44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T184" s="52"/>
      <c r="U184" s="52"/>
      <c r="V184" s="52"/>
    </row>
    <row r="185">
      <c r="B185" s="44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T185" s="52"/>
      <c r="U185" s="52"/>
      <c r="V185" s="52"/>
    </row>
    <row r="186">
      <c r="B186" s="44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T186" s="52"/>
      <c r="U186" s="52"/>
      <c r="V186" s="52"/>
    </row>
    <row r="187">
      <c r="B187" s="44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T187" s="52"/>
      <c r="U187" s="52"/>
      <c r="V187" s="52"/>
    </row>
    <row r="188">
      <c r="B188" s="44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T188" s="52"/>
      <c r="U188" s="52"/>
      <c r="V188" s="52"/>
    </row>
    <row r="189">
      <c r="B189" s="44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T189" s="52"/>
      <c r="U189" s="52"/>
      <c r="V189" s="52"/>
    </row>
    <row r="190">
      <c r="B190" s="44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T190" s="52"/>
      <c r="U190" s="52"/>
      <c r="V190" s="52"/>
    </row>
    <row r="191">
      <c r="B191" s="44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T191" s="52"/>
      <c r="U191" s="52"/>
      <c r="V191" s="52"/>
    </row>
    <row r="192">
      <c r="B192" s="44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T192" s="52"/>
      <c r="U192" s="52"/>
      <c r="V192" s="52"/>
    </row>
    <row r="193">
      <c r="B193" s="44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T193" s="52"/>
      <c r="U193" s="52"/>
      <c r="V193" s="52"/>
    </row>
    <row r="194">
      <c r="B194" s="44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T194" s="52"/>
      <c r="U194" s="52"/>
      <c r="V194" s="52"/>
    </row>
    <row r="195">
      <c r="B195" s="44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T195" s="52"/>
      <c r="U195" s="52"/>
      <c r="V195" s="52"/>
    </row>
    <row r="196">
      <c r="B196" s="44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T196" s="52"/>
      <c r="U196" s="52"/>
      <c r="V196" s="52"/>
    </row>
    <row r="197">
      <c r="B197" s="44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T197" s="52"/>
      <c r="U197" s="52"/>
      <c r="V197" s="52"/>
    </row>
    <row r="198">
      <c r="B198" s="44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T198" s="52"/>
      <c r="U198" s="52"/>
      <c r="V198" s="52"/>
    </row>
    <row r="199">
      <c r="B199" s="44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T199" s="52"/>
      <c r="U199" s="52"/>
      <c r="V199" s="52"/>
    </row>
    <row r="200">
      <c r="B200" s="44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T200" s="52"/>
      <c r="U200" s="52"/>
      <c r="V200" s="52"/>
    </row>
    <row r="201">
      <c r="B201" s="44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T201" s="52"/>
      <c r="U201" s="52"/>
      <c r="V201" s="52"/>
    </row>
    <row r="202">
      <c r="B202" s="44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T202" s="52"/>
      <c r="U202" s="52"/>
      <c r="V202" s="52"/>
    </row>
    <row r="203">
      <c r="B203" s="44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T203" s="52"/>
      <c r="U203" s="52"/>
      <c r="V203" s="52"/>
    </row>
    <row r="204">
      <c r="B204" s="44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T204" s="52"/>
      <c r="U204" s="52"/>
      <c r="V204" s="52"/>
    </row>
    <row r="205">
      <c r="B205" s="44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T205" s="52"/>
      <c r="U205" s="52"/>
      <c r="V205" s="52"/>
    </row>
    <row r="206">
      <c r="B206" s="44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T206" s="52"/>
      <c r="U206" s="52"/>
      <c r="V206" s="52"/>
    </row>
    <row r="207">
      <c r="B207" s="44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T207" s="52"/>
      <c r="U207" s="52"/>
      <c r="V207" s="52"/>
    </row>
    <row r="208">
      <c r="B208" s="44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T208" s="52"/>
      <c r="U208" s="52"/>
      <c r="V208" s="52"/>
    </row>
    <row r="209">
      <c r="B209" s="44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T209" s="52"/>
      <c r="U209" s="52"/>
      <c r="V209" s="52"/>
    </row>
    <row r="210">
      <c r="B210" s="44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T210" s="52"/>
      <c r="U210" s="52"/>
      <c r="V210" s="52"/>
    </row>
    <row r="211">
      <c r="B211" s="44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T211" s="52"/>
      <c r="U211" s="52"/>
      <c r="V211" s="52"/>
    </row>
    <row r="212">
      <c r="B212" s="4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T212" s="52"/>
      <c r="U212" s="52"/>
      <c r="V212" s="52"/>
    </row>
    <row r="213">
      <c r="B213" s="4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T213" s="52"/>
      <c r="U213" s="52"/>
      <c r="V213" s="52"/>
    </row>
    <row r="214">
      <c r="B214" s="44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T214" s="52"/>
      <c r="U214" s="52"/>
      <c r="V214" s="52"/>
    </row>
    <row r="215">
      <c r="B215" s="44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T215" s="52"/>
      <c r="U215" s="52"/>
      <c r="V215" s="52"/>
    </row>
    <row r="216">
      <c r="B216" s="44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T216" s="52"/>
      <c r="U216" s="52"/>
      <c r="V216" s="52"/>
    </row>
    <row r="217">
      <c r="B217" s="44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T217" s="52"/>
      <c r="U217" s="52"/>
      <c r="V217" s="52"/>
    </row>
    <row r="218">
      <c r="B218" s="44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T218" s="52"/>
      <c r="U218" s="52"/>
      <c r="V218" s="52"/>
    </row>
    <row r="219">
      <c r="B219" s="44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T219" s="52"/>
      <c r="U219" s="52"/>
      <c r="V219" s="52"/>
    </row>
    <row r="220">
      <c r="B220" s="44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T220" s="52"/>
      <c r="U220" s="52"/>
      <c r="V220" s="52"/>
    </row>
    <row r="221">
      <c r="B221" s="44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T221" s="52"/>
      <c r="U221" s="52"/>
      <c r="V221" s="52"/>
    </row>
    <row r="222">
      <c r="B222" s="44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T222" s="52"/>
      <c r="U222" s="52"/>
      <c r="V222" s="52"/>
    </row>
    <row r="223">
      <c r="B223" s="44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T223" s="52"/>
      <c r="U223" s="52"/>
      <c r="V223" s="52"/>
    </row>
    <row r="224">
      <c r="B224" s="44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T224" s="52"/>
      <c r="U224" s="52"/>
      <c r="V224" s="52"/>
    </row>
    <row r="225">
      <c r="B225" s="44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T225" s="52"/>
      <c r="U225" s="52"/>
      <c r="V225" s="52"/>
    </row>
    <row r="226">
      <c r="B226" s="44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T226" s="52"/>
      <c r="U226" s="52"/>
      <c r="V226" s="52"/>
    </row>
    <row r="227">
      <c r="B227" s="44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T227" s="52"/>
      <c r="U227" s="52"/>
      <c r="V227" s="52"/>
    </row>
    <row r="228">
      <c r="B228" s="44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T228" s="52"/>
      <c r="U228" s="52"/>
      <c r="V228" s="52"/>
    </row>
    <row r="229">
      <c r="B229" s="44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T229" s="52"/>
      <c r="U229" s="52"/>
      <c r="V229" s="52"/>
    </row>
    <row r="230">
      <c r="B230" s="44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T230" s="52"/>
      <c r="U230" s="52"/>
      <c r="V230" s="52"/>
    </row>
    <row r="231">
      <c r="B231" s="44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T231" s="52"/>
      <c r="U231" s="52"/>
      <c r="V231" s="52"/>
    </row>
    <row r="232">
      <c r="B232" s="44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T232" s="52"/>
      <c r="U232" s="52"/>
      <c r="V232" s="52"/>
    </row>
    <row r="233">
      <c r="B233" s="44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T233" s="52"/>
      <c r="U233" s="52"/>
      <c r="V233" s="52"/>
    </row>
    <row r="234">
      <c r="B234" s="44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T234" s="52"/>
      <c r="U234" s="52"/>
      <c r="V234" s="52"/>
    </row>
    <row r="235">
      <c r="B235" s="44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T235" s="52"/>
      <c r="U235" s="52"/>
      <c r="V235" s="52"/>
    </row>
    <row r="236">
      <c r="B236" s="44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T236" s="52"/>
      <c r="U236" s="52"/>
      <c r="V236" s="52"/>
    </row>
    <row r="237">
      <c r="B237" s="44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T237" s="52"/>
      <c r="U237" s="52"/>
      <c r="V237" s="52"/>
    </row>
    <row r="238">
      <c r="B238" s="44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T238" s="52"/>
      <c r="U238" s="52"/>
      <c r="V238" s="52"/>
    </row>
    <row r="239">
      <c r="B239" s="44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T239" s="52"/>
      <c r="U239" s="52"/>
      <c r="V239" s="52"/>
    </row>
    <row r="240">
      <c r="B240" s="44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T240" s="52"/>
      <c r="U240" s="52"/>
      <c r="V240" s="52"/>
    </row>
    <row r="241">
      <c r="B241" s="4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T241" s="52"/>
      <c r="U241" s="52"/>
      <c r="V241" s="52"/>
    </row>
    <row r="242">
      <c r="B242" s="4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T242" s="52"/>
      <c r="U242" s="52"/>
      <c r="V242" s="52"/>
    </row>
    <row r="243">
      <c r="B243" s="4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T243" s="52"/>
      <c r="U243" s="52"/>
      <c r="V243" s="52"/>
    </row>
    <row r="244">
      <c r="B244" s="4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T244" s="52"/>
      <c r="U244" s="52"/>
      <c r="V244" s="52"/>
    </row>
    <row r="245">
      <c r="B245" s="4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T245" s="52"/>
      <c r="U245" s="52"/>
      <c r="V245" s="52"/>
    </row>
    <row r="246">
      <c r="B246" s="4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T246" s="52"/>
      <c r="U246" s="52"/>
      <c r="V246" s="52"/>
    </row>
    <row r="247">
      <c r="B247" s="4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T247" s="52"/>
      <c r="U247" s="52"/>
      <c r="V247" s="52"/>
    </row>
    <row r="248">
      <c r="B248" s="4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T248" s="52"/>
      <c r="U248" s="52"/>
      <c r="V248" s="52"/>
    </row>
    <row r="249">
      <c r="B249" s="4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T249" s="52"/>
      <c r="U249" s="52"/>
      <c r="V249" s="52"/>
    </row>
    <row r="250">
      <c r="B250" s="4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T250" s="52"/>
      <c r="U250" s="52"/>
      <c r="V250" s="52"/>
    </row>
    <row r="251">
      <c r="B251" s="4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T251" s="52"/>
      <c r="U251" s="52"/>
      <c r="V251" s="52"/>
    </row>
    <row r="252">
      <c r="B252" s="4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T252" s="52"/>
      <c r="U252" s="52"/>
      <c r="V252" s="52"/>
    </row>
    <row r="253">
      <c r="B253" s="44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T253" s="52"/>
      <c r="U253" s="52"/>
      <c r="V253" s="52"/>
    </row>
    <row r="254">
      <c r="B254" s="4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T254" s="52"/>
      <c r="U254" s="52"/>
      <c r="V254" s="52"/>
    </row>
    <row r="255">
      <c r="B255" s="44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T255" s="52"/>
      <c r="U255" s="52"/>
      <c r="V255" s="52"/>
    </row>
    <row r="256">
      <c r="B256" s="44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T256" s="52"/>
      <c r="U256" s="52"/>
      <c r="V256" s="52"/>
    </row>
    <row r="257">
      <c r="B257" s="44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T257" s="52"/>
      <c r="U257" s="52"/>
      <c r="V257" s="52"/>
    </row>
    <row r="258">
      <c r="B258" s="44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T258" s="52"/>
      <c r="U258" s="52"/>
      <c r="V258" s="52"/>
    </row>
    <row r="259">
      <c r="B259" s="44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T259" s="52"/>
      <c r="U259" s="52"/>
      <c r="V259" s="52"/>
    </row>
    <row r="260">
      <c r="B260" s="44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T260" s="52"/>
      <c r="U260" s="52"/>
      <c r="V260" s="52"/>
    </row>
    <row r="261">
      <c r="B261" s="44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T261" s="52"/>
      <c r="U261" s="52"/>
      <c r="V261" s="52"/>
    </row>
    <row r="262">
      <c r="B262" s="44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T262" s="52"/>
      <c r="U262" s="52"/>
      <c r="V262" s="52"/>
    </row>
    <row r="263">
      <c r="B263" s="44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T263" s="52"/>
      <c r="U263" s="52"/>
      <c r="V263" s="52"/>
    </row>
    <row r="264">
      <c r="B264" s="44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T264" s="52"/>
      <c r="U264" s="52"/>
      <c r="V264" s="52"/>
    </row>
    <row r="265">
      <c r="B265" s="44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T265" s="52"/>
      <c r="U265" s="52"/>
      <c r="V265" s="52"/>
    </row>
    <row r="266">
      <c r="B266" s="44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T266" s="52"/>
      <c r="U266" s="52"/>
      <c r="V266" s="52"/>
    </row>
    <row r="267">
      <c r="B267" s="44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T267" s="52"/>
      <c r="U267" s="52"/>
      <c r="V267" s="52"/>
    </row>
    <row r="268">
      <c r="B268" s="44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T268" s="52"/>
      <c r="U268" s="52"/>
      <c r="V268" s="52"/>
    </row>
    <row r="269">
      <c r="B269" s="44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T269" s="52"/>
      <c r="U269" s="52"/>
      <c r="V269" s="52"/>
    </row>
    <row r="270">
      <c r="B270" s="44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T270" s="52"/>
      <c r="U270" s="52"/>
      <c r="V270" s="52"/>
    </row>
    <row r="271">
      <c r="B271" s="44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T271" s="52"/>
      <c r="U271" s="52"/>
      <c r="V271" s="52"/>
    </row>
    <row r="272">
      <c r="B272" s="44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T272" s="52"/>
      <c r="U272" s="52"/>
      <c r="V272" s="52"/>
    </row>
    <row r="273">
      <c r="B273" s="44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T273" s="52"/>
      <c r="U273" s="52"/>
      <c r="V273" s="52"/>
    </row>
    <row r="274">
      <c r="B274" s="44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T274" s="52"/>
      <c r="U274" s="52"/>
      <c r="V274" s="52"/>
    </row>
    <row r="275">
      <c r="B275" s="44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T275" s="52"/>
      <c r="U275" s="52"/>
      <c r="V275" s="52"/>
    </row>
    <row r="276">
      <c r="B276" s="44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T276" s="52"/>
      <c r="U276" s="52"/>
      <c r="V276" s="52"/>
    </row>
    <row r="277">
      <c r="B277" s="44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T277" s="52"/>
      <c r="U277" s="52"/>
      <c r="V277" s="52"/>
    </row>
    <row r="278">
      <c r="B278" s="44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T278" s="52"/>
      <c r="U278" s="52"/>
      <c r="V278" s="52"/>
    </row>
    <row r="279">
      <c r="B279" s="44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T279" s="52"/>
      <c r="U279" s="52"/>
      <c r="V279" s="52"/>
    </row>
    <row r="280">
      <c r="B280" s="44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T280" s="52"/>
      <c r="U280" s="52"/>
      <c r="V280" s="52"/>
    </row>
    <row r="281">
      <c r="B281" s="44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T281" s="52"/>
      <c r="U281" s="52"/>
      <c r="V281" s="52"/>
    </row>
    <row r="282">
      <c r="B282" s="44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T282" s="52"/>
      <c r="U282" s="52"/>
      <c r="V282" s="52"/>
    </row>
    <row r="283">
      <c r="B283" s="44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T283" s="52"/>
      <c r="U283" s="52"/>
      <c r="V283" s="52"/>
    </row>
    <row r="284">
      <c r="B284" s="44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T284" s="52"/>
      <c r="U284" s="52"/>
      <c r="V284" s="52"/>
    </row>
    <row r="285">
      <c r="B285" s="44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T285" s="52"/>
      <c r="U285" s="52"/>
      <c r="V285" s="52"/>
    </row>
    <row r="286">
      <c r="B286" s="44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T286" s="52"/>
      <c r="U286" s="52"/>
      <c r="V286" s="52"/>
    </row>
    <row r="287">
      <c r="B287" s="44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T287" s="52"/>
      <c r="U287" s="52"/>
      <c r="V287" s="52"/>
    </row>
    <row r="288">
      <c r="B288" s="44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T288" s="52"/>
      <c r="U288" s="52"/>
      <c r="V288" s="52"/>
    </row>
    <row r="289">
      <c r="B289" s="44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T289" s="52"/>
      <c r="U289" s="52"/>
      <c r="V289" s="52"/>
    </row>
    <row r="290">
      <c r="B290" s="44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T290" s="52"/>
      <c r="U290" s="52"/>
      <c r="V290" s="52"/>
    </row>
    <row r="291">
      <c r="B291" s="44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T291" s="52"/>
      <c r="U291" s="52"/>
      <c r="V291" s="52"/>
    </row>
    <row r="292">
      <c r="B292" s="44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T292" s="52"/>
      <c r="U292" s="52"/>
      <c r="V292" s="52"/>
    </row>
    <row r="293">
      <c r="B293" s="44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T293" s="52"/>
      <c r="U293" s="52"/>
      <c r="V293" s="52"/>
    </row>
    <row r="294">
      <c r="B294" s="44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T294" s="52"/>
      <c r="U294" s="52"/>
      <c r="V294" s="52"/>
    </row>
    <row r="295">
      <c r="B295" s="44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T295" s="52"/>
      <c r="U295" s="52"/>
      <c r="V295" s="52"/>
    </row>
    <row r="296">
      <c r="B296" s="44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T296" s="52"/>
      <c r="U296" s="52"/>
      <c r="V296" s="52"/>
    </row>
    <row r="297">
      <c r="B297" s="44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T297" s="52"/>
      <c r="U297" s="52"/>
      <c r="V297" s="52"/>
    </row>
    <row r="298">
      <c r="B298" s="44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T298" s="52"/>
      <c r="U298" s="52"/>
      <c r="V298" s="52"/>
    </row>
    <row r="299">
      <c r="B299" s="44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T299" s="52"/>
      <c r="U299" s="52"/>
      <c r="V299" s="52"/>
    </row>
    <row r="300">
      <c r="B300" s="44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T300" s="52"/>
      <c r="U300" s="52"/>
      <c r="V300" s="52"/>
    </row>
    <row r="301">
      <c r="B301" s="44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T301" s="52"/>
      <c r="U301" s="52"/>
      <c r="V301" s="52"/>
    </row>
    <row r="302">
      <c r="B302" s="44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T302" s="52"/>
      <c r="U302" s="52"/>
      <c r="V302" s="52"/>
    </row>
    <row r="303">
      <c r="B303" s="44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T303" s="52"/>
      <c r="U303" s="52"/>
      <c r="V303" s="52"/>
    </row>
    <row r="304">
      <c r="B304" s="44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T304" s="52"/>
      <c r="U304" s="52"/>
      <c r="V304" s="52"/>
    </row>
    <row r="305">
      <c r="B305" s="44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T305" s="52"/>
      <c r="U305" s="52"/>
      <c r="V305" s="52"/>
    </row>
    <row r="306">
      <c r="B306" s="44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T306" s="52"/>
      <c r="U306" s="52"/>
      <c r="V306" s="52"/>
    </row>
    <row r="307">
      <c r="B307" s="44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T307" s="52"/>
      <c r="U307" s="52"/>
      <c r="V307" s="52"/>
    </row>
    <row r="308">
      <c r="B308" s="44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T308" s="52"/>
      <c r="U308" s="52"/>
      <c r="V308" s="52"/>
    </row>
    <row r="309">
      <c r="B309" s="44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T309" s="52"/>
      <c r="U309" s="52"/>
      <c r="V309" s="52"/>
    </row>
    <row r="310">
      <c r="B310" s="44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T310" s="52"/>
      <c r="U310" s="52"/>
      <c r="V310" s="52"/>
    </row>
    <row r="311">
      <c r="B311" s="44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T311" s="52"/>
      <c r="U311" s="52"/>
      <c r="V311" s="52"/>
    </row>
    <row r="312">
      <c r="B312" s="44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T312" s="52"/>
      <c r="U312" s="52"/>
      <c r="V312" s="52"/>
    </row>
    <row r="313">
      <c r="B313" s="44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T313" s="52"/>
      <c r="U313" s="52"/>
      <c r="V313" s="52"/>
    </row>
    <row r="314">
      <c r="B314" s="44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T314" s="52"/>
      <c r="U314" s="52"/>
      <c r="V314" s="52"/>
    </row>
    <row r="315">
      <c r="B315" s="44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T315" s="52"/>
      <c r="U315" s="52"/>
      <c r="V315" s="52"/>
    </row>
    <row r="316">
      <c r="B316" s="44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T316" s="52"/>
      <c r="U316" s="52"/>
      <c r="V316" s="52"/>
    </row>
    <row r="317">
      <c r="B317" s="44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T317" s="52"/>
      <c r="U317" s="52"/>
      <c r="V317" s="52"/>
    </row>
    <row r="318">
      <c r="B318" s="44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T318" s="52"/>
      <c r="U318" s="52"/>
      <c r="V318" s="52"/>
    </row>
    <row r="319">
      <c r="B319" s="44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T319" s="52"/>
      <c r="U319" s="52"/>
      <c r="V319" s="52"/>
    </row>
    <row r="320">
      <c r="B320" s="44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T320" s="52"/>
      <c r="U320" s="52"/>
      <c r="V320" s="52"/>
    </row>
    <row r="321">
      <c r="B321" s="44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T321" s="52"/>
      <c r="U321" s="52"/>
      <c r="V321" s="52"/>
    </row>
    <row r="322">
      <c r="B322" s="44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T322" s="52"/>
      <c r="U322" s="52"/>
      <c r="V322" s="52"/>
    </row>
    <row r="323">
      <c r="B323" s="44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T323" s="52"/>
      <c r="U323" s="52"/>
      <c r="V323" s="52"/>
    </row>
    <row r="324">
      <c r="B324" s="44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T324" s="52"/>
      <c r="U324" s="52"/>
      <c r="V324" s="52"/>
    </row>
    <row r="325">
      <c r="B325" s="44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T325" s="52"/>
      <c r="U325" s="52"/>
      <c r="V325" s="52"/>
    </row>
    <row r="326">
      <c r="B326" s="44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T326" s="52"/>
      <c r="U326" s="52"/>
      <c r="V326" s="52"/>
    </row>
    <row r="327">
      <c r="B327" s="44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T327" s="52"/>
      <c r="U327" s="52"/>
      <c r="V327" s="52"/>
    </row>
    <row r="328">
      <c r="B328" s="44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T328" s="52"/>
      <c r="U328" s="52"/>
      <c r="V328" s="52"/>
    </row>
    <row r="329">
      <c r="B329" s="44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T329" s="52"/>
      <c r="U329" s="52"/>
      <c r="V329" s="52"/>
    </row>
    <row r="330">
      <c r="B330" s="44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T330" s="52"/>
      <c r="U330" s="52"/>
      <c r="V330" s="52"/>
    </row>
    <row r="331">
      <c r="B331" s="44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T331" s="52"/>
      <c r="U331" s="52"/>
      <c r="V331" s="52"/>
    </row>
    <row r="332">
      <c r="B332" s="44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T332" s="52"/>
      <c r="U332" s="52"/>
      <c r="V332" s="52"/>
    </row>
    <row r="333">
      <c r="B333" s="44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T333" s="52"/>
      <c r="U333" s="52"/>
      <c r="V333" s="52"/>
    </row>
    <row r="334">
      <c r="B334" s="44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T334" s="52"/>
      <c r="U334" s="52"/>
      <c r="V334" s="52"/>
    </row>
    <row r="335">
      <c r="B335" s="44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T335" s="52"/>
      <c r="U335" s="52"/>
      <c r="V335" s="52"/>
    </row>
    <row r="336">
      <c r="B336" s="44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T336" s="52"/>
      <c r="U336" s="52"/>
      <c r="V336" s="52"/>
    </row>
    <row r="337">
      <c r="B337" s="44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T337" s="52"/>
      <c r="U337" s="52"/>
      <c r="V337" s="52"/>
    </row>
    <row r="338">
      <c r="B338" s="44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T338" s="52"/>
      <c r="U338" s="52"/>
      <c r="V338" s="52"/>
    </row>
    <row r="339">
      <c r="B339" s="44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T339" s="52"/>
      <c r="U339" s="52"/>
      <c r="V339" s="52"/>
    </row>
    <row r="340">
      <c r="B340" s="44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T340" s="52"/>
      <c r="U340" s="52"/>
      <c r="V340" s="52"/>
    </row>
    <row r="341">
      <c r="B341" s="44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T341" s="52"/>
      <c r="U341" s="52"/>
      <c r="V341" s="52"/>
    </row>
    <row r="342">
      <c r="B342" s="44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T342" s="52"/>
      <c r="U342" s="52"/>
      <c r="V342" s="52"/>
    </row>
    <row r="343">
      <c r="B343" s="44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T343" s="52"/>
      <c r="U343" s="52"/>
      <c r="V343" s="52"/>
    </row>
    <row r="344">
      <c r="B344" s="44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T344" s="52"/>
      <c r="U344" s="52"/>
      <c r="V344" s="52"/>
    </row>
    <row r="345">
      <c r="B345" s="44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T345" s="52"/>
      <c r="U345" s="52"/>
      <c r="V345" s="52"/>
    </row>
    <row r="346">
      <c r="B346" s="44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T346" s="52"/>
      <c r="U346" s="52"/>
      <c r="V346" s="52"/>
    </row>
    <row r="347">
      <c r="B347" s="44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T347" s="52"/>
      <c r="U347" s="52"/>
      <c r="V347" s="52"/>
    </row>
    <row r="348">
      <c r="B348" s="44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T348" s="52"/>
      <c r="U348" s="52"/>
      <c r="V348" s="52"/>
    </row>
    <row r="349">
      <c r="B349" s="44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T349" s="52"/>
      <c r="U349" s="52"/>
      <c r="V349" s="52"/>
    </row>
    <row r="350">
      <c r="B350" s="44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T350" s="52"/>
      <c r="U350" s="52"/>
      <c r="V350" s="52"/>
    </row>
    <row r="351">
      <c r="B351" s="44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T351" s="52"/>
      <c r="U351" s="52"/>
      <c r="V351" s="52"/>
    </row>
    <row r="352">
      <c r="B352" s="44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T352" s="52"/>
      <c r="U352" s="52"/>
      <c r="V352" s="52"/>
    </row>
    <row r="353">
      <c r="B353" s="44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T353" s="52"/>
      <c r="U353" s="52"/>
      <c r="V353" s="52"/>
    </row>
    <row r="354">
      <c r="B354" s="44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T354" s="52"/>
      <c r="U354" s="52"/>
      <c r="V354" s="52"/>
    </row>
    <row r="355">
      <c r="B355" s="44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T355" s="52"/>
      <c r="U355" s="52"/>
      <c r="V355" s="52"/>
    </row>
    <row r="356">
      <c r="B356" s="44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T356" s="52"/>
      <c r="U356" s="52"/>
      <c r="V356" s="52"/>
    </row>
    <row r="357">
      <c r="B357" s="44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T357" s="52"/>
      <c r="U357" s="52"/>
      <c r="V357" s="52"/>
    </row>
    <row r="358">
      <c r="B358" s="44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T358" s="52"/>
      <c r="U358" s="52"/>
      <c r="V358" s="52"/>
    </row>
    <row r="359">
      <c r="B359" s="44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T359" s="52"/>
      <c r="U359" s="52"/>
      <c r="V359" s="52"/>
    </row>
    <row r="360">
      <c r="B360" s="44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T360" s="52"/>
      <c r="U360" s="52"/>
      <c r="V360" s="52"/>
    </row>
    <row r="361">
      <c r="B361" s="44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T361" s="52"/>
      <c r="U361" s="52"/>
      <c r="V361" s="52"/>
    </row>
    <row r="362">
      <c r="B362" s="44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T362" s="52"/>
      <c r="U362" s="52"/>
      <c r="V362" s="52"/>
    </row>
    <row r="363">
      <c r="B363" s="44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T363" s="52"/>
      <c r="U363" s="52"/>
      <c r="V363" s="52"/>
    </row>
    <row r="364">
      <c r="B364" s="44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T364" s="52"/>
      <c r="U364" s="52"/>
      <c r="V364" s="52"/>
    </row>
    <row r="365">
      <c r="B365" s="44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T365" s="52"/>
      <c r="U365" s="52"/>
      <c r="V365" s="52"/>
    </row>
    <row r="366">
      <c r="B366" s="44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T366" s="52"/>
      <c r="U366" s="52"/>
      <c r="V366" s="52"/>
    </row>
    <row r="367">
      <c r="B367" s="44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T367" s="52"/>
      <c r="U367" s="52"/>
      <c r="V367" s="52"/>
    </row>
    <row r="368">
      <c r="B368" s="44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T368" s="52"/>
      <c r="U368" s="52"/>
      <c r="V368" s="52"/>
    </row>
    <row r="369">
      <c r="B369" s="44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T369" s="52"/>
      <c r="U369" s="52"/>
      <c r="V369" s="52"/>
    </row>
    <row r="370">
      <c r="B370" s="44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T370" s="52"/>
      <c r="U370" s="52"/>
      <c r="V370" s="52"/>
    </row>
    <row r="371">
      <c r="B371" s="44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T371" s="52"/>
      <c r="U371" s="52"/>
      <c r="V371" s="52"/>
    </row>
    <row r="372">
      <c r="B372" s="44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T372" s="52"/>
      <c r="U372" s="52"/>
      <c r="V372" s="52"/>
    </row>
    <row r="373">
      <c r="B373" s="44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T373" s="52"/>
      <c r="U373" s="52"/>
      <c r="V373" s="52"/>
    </row>
    <row r="374">
      <c r="B374" s="44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T374" s="52"/>
      <c r="U374" s="52"/>
      <c r="V374" s="52"/>
    </row>
    <row r="375">
      <c r="B375" s="44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T375" s="52"/>
      <c r="U375" s="52"/>
      <c r="V375" s="52"/>
    </row>
    <row r="376">
      <c r="B376" s="44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T376" s="52"/>
      <c r="U376" s="52"/>
      <c r="V376" s="52"/>
    </row>
    <row r="377">
      <c r="B377" s="44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T377" s="52"/>
      <c r="U377" s="52"/>
      <c r="V377" s="52"/>
    </row>
    <row r="378">
      <c r="B378" s="44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T378" s="52"/>
      <c r="U378" s="52"/>
      <c r="V378" s="52"/>
    </row>
    <row r="379">
      <c r="B379" s="44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T379" s="52"/>
      <c r="U379" s="52"/>
      <c r="V379" s="52"/>
    </row>
    <row r="380">
      <c r="B380" s="44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T380" s="52"/>
      <c r="U380" s="52"/>
      <c r="V380" s="52"/>
    </row>
    <row r="381">
      <c r="B381" s="44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T381" s="52"/>
      <c r="U381" s="52"/>
      <c r="V381" s="52"/>
    </row>
    <row r="382">
      <c r="B382" s="44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T382" s="52"/>
      <c r="U382" s="52"/>
      <c r="V382" s="52"/>
    </row>
    <row r="383">
      <c r="B383" s="44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T383" s="52"/>
      <c r="U383" s="52"/>
      <c r="V383" s="52"/>
    </row>
    <row r="384">
      <c r="B384" s="44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T384" s="52"/>
      <c r="U384" s="52"/>
      <c r="V384" s="52"/>
    </row>
    <row r="385">
      <c r="B385" s="44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T385" s="52"/>
      <c r="U385" s="52"/>
      <c r="V385" s="52"/>
    </row>
    <row r="386">
      <c r="B386" s="44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T386" s="52"/>
      <c r="U386" s="52"/>
      <c r="V386" s="52"/>
    </row>
    <row r="387">
      <c r="B387" s="44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T387" s="52"/>
      <c r="U387" s="52"/>
      <c r="V387" s="52"/>
    </row>
    <row r="388">
      <c r="B388" s="44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T388" s="52"/>
      <c r="U388" s="52"/>
      <c r="V388" s="52"/>
    </row>
    <row r="389">
      <c r="B389" s="44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T389" s="52"/>
      <c r="U389" s="52"/>
      <c r="V389" s="52"/>
    </row>
    <row r="390">
      <c r="B390" s="44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T390" s="52"/>
      <c r="U390" s="52"/>
      <c r="V390" s="52"/>
    </row>
    <row r="391">
      <c r="B391" s="44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T391" s="52"/>
      <c r="U391" s="52"/>
      <c r="V391" s="52"/>
    </row>
    <row r="392">
      <c r="B392" s="44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T392" s="52"/>
      <c r="U392" s="52"/>
      <c r="V392" s="52"/>
    </row>
    <row r="393">
      <c r="B393" s="44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T393" s="52"/>
      <c r="U393" s="52"/>
      <c r="V393" s="52"/>
    </row>
    <row r="394">
      <c r="B394" s="44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T394" s="52"/>
      <c r="U394" s="52"/>
      <c r="V394" s="52"/>
    </row>
    <row r="395">
      <c r="B395" s="44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T395" s="52"/>
      <c r="U395" s="52"/>
      <c r="V395" s="52"/>
    </row>
    <row r="396">
      <c r="B396" s="44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T396" s="52"/>
      <c r="U396" s="52"/>
      <c r="V396" s="52"/>
    </row>
    <row r="397">
      <c r="B397" s="44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T397" s="52"/>
      <c r="U397" s="52"/>
      <c r="V397" s="52"/>
    </row>
    <row r="398">
      <c r="B398" s="44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T398" s="52"/>
      <c r="U398" s="52"/>
      <c r="V398" s="52"/>
    </row>
    <row r="399">
      <c r="B399" s="44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T399" s="52"/>
      <c r="U399" s="52"/>
      <c r="V399" s="52"/>
    </row>
    <row r="400">
      <c r="B400" s="44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T400" s="52"/>
      <c r="U400" s="52"/>
      <c r="V400" s="52"/>
    </row>
    <row r="401">
      <c r="B401" s="44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T401" s="52"/>
      <c r="U401" s="52"/>
      <c r="V401" s="52"/>
    </row>
    <row r="402">
      <c r="B402" s="44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T402" s="52"/>
      <c r="U402" s="52"/>
      <c r="V402" s="52"/>
    </row>
    <row r="403">
      <c r="B403" s="44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T403" s="52"/>
      <c r="U403" s="52"/>
      <c r="V403" s="52"/>
    </row>
    <row r="404">
      <c r="B404" s="44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T404" s="52"/>
      <c r="U404" s="52"/>
      <c r="V404" s="52"/>
    </row>
    <row r="405">
      <c r="B405" s="44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T405" s="52"/>
      <c r="U405" s="52"/>
      <c r="V405" s="52"/>
    </row>
    <row r="406">
      <c r="B406" s="44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T406" s="52"/>
      <c r="U406" s="52"/>
      <c r="V406" s="52"/>
    </row>
    <row r="407">
      <c r="B407" s="44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T407" s="52"/>
      <c r="U407" s="52"/>
      <c r="V407" s="52"/>
    </row>
    <row r="408">
      <c r="B408" s="44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T408" s="52"/>
      <c r="U408" s="52"/>
      <c r="V408" s="52"/>
    </row>
    <row r="409">
      <c r="B409" s="44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T409" s="52"/>
      <c r="U409" s="52"/>
      <c r="V409" s="52"/>
    </row>
    <row r="410">
      <c r="B410" s="44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T410" s="52"/>
      <c r="U410" s="52"/>
      <c r="V410" s="52"/>
    </row>
    <row r="411">
      <c r="B411" s="44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T411" s="52"/>
      <c r="U411" s="52"/>
      <c r="V411" s="52"/>
    </row>
    <row r="412">
      <c r="B412" s="44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T412" s="52"/>
      <c r="U412" s="52"/>
      <c r="V412" s="52"/>
    </row>
    <row r="413">
      <c r="B413" s="44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T413" s="52"/>
      <c r="U413" s="52"/>
      <c r="V413" s="52"/>
    </row>
    <row r="414">
      <c r="B414" s="44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T414" s="52"/>
      <c r="U414" s="52"/>
      <c r="V414" s="52"/>
    </row>
    <row r="415">
      <c r="B415" s="44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T415" s="52"/>
      <c r="U415" s="52"/>
      <c r="V415" s="52"/>
    </row>
    <row r="416">
      <c r="B416" s="44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T416" s="52"/>
      <c r="U416" s="52"/>
      <c r="V416" s="52"/>
    </row>
    <row r="417">
      <c r="B417" s="44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T417" s="52"/>
      <c r="U417" s="52"/>
      <c r="V417" s="52"/>
    </row>
    <row r="418">
      <c r="B418" s="44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T418" s="52"/>
      <c r="U418" s="52"/>
      <c r="V418" s="52"/>
    </row>
    <row r="419">
      <c r="B419" s="44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T419" s="52"/>
      <c r="U419" s="52"/>
      <c r="V419" s="52"/>
    </row>
    <row r="420">
      <c r="B420" s="44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T420" s="52"/>
      <c r="U420" s="52"/>
      <c r="V420" s="52"/>
    </row>
    <row r="421">
      <c r="B421" s="44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T421" s="52"/>
      <c r="U421" s="52"/>
      <c r="V421" s="52"/>
    </row>
    <row r="422">
      <c r="B422" s="44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T422" s="52"/>
      <c r="U422" s="52"/>
      <c r="V422" s="52"/>
    </row>
    <row r="423">
      <c r="B423" s="44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T423" s="52"/>
      <c r="U423" s="52"/>
      <c r="V423" s="52"/>
    </row>
    <row r="424">
      <c r="B424" s="44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T424" s="52"/>
      <c r="U424" s="52"/>
      <c r="V424" s="52"/>
    </row>
    <row r="425">
      <c r="B425" s="44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T425" s="52"/>
      <c r="U425" s="52"/>
      <c r="V425" s="52"/>
    </row>
    <row r="426">
      <c r="B426" s="44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T426" s="52"/>
      <c r="U426" s="52"/>
      <c r="V426" s="52"/>
    </row>
    <row r="427">
      <c r="B427" s="44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T427" s="52"/>
      <c r="U427" s="52"/>
      <c r="V427" s="52"/>
    </row>
    <row r="428">
      <c r="B428" s="44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T428" s="52"/>
      <c r="U428" s="52"/>
      <c r="V428" s="52"/>
    </row>
    <row r="429">
      <c r="B429" s="44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T429" s="52"/>
      <c r="U429" s="52"/>
      <c r="V429" s="52"/>
    </row>
    <row r="430">
      <c r="B430" s="44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T430" s="52"/>
      <c r="U430" s="52"/>
      <c r="V430" s="52"/>
    </row>
    <row r="431">
      <c r="B431" s="44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T431" s="52"/>
      <c r="U431" s="52"/>
      <c r="V431" s="52"/>
    </row>
    <row r="432">
      <c r="B432" s="44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T432" s="52"/>
      <c r="U432" s="52"/>
      <c r="V432" s="52"/>
    </row>
    <row r="433">
      <c r="B433" s="44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T433" s="52"/>
      <c r="U433" s="52"/>
      <c r="V433" s="52"/>
    </row>
    <row r="434">
      <c r="B434" s="44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T434" s="52"/>
      <c r="U434" s="52"/>
      <c r="V434" s="52"/>
    </row>
    <row r="435">
      <c r="B435" s="44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T435" s="52"/>
      <c r="U435" s="52"/>
      <c r="V435" s="52"/>
    </row>
    <row r="436">
      <c r="B436" s="44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T436" s="52"/>
      <c r="U436" s="52"/>
      <c r="V436" s="52"/>
    </row>
    <row r="437">
      <c r="B437" s="44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T437" s="52"/>
      <c r="U437" s="52"/>
      <c r="V437" s="52"/>
    </row>
    <row r="438">
      <c r="B438" s="44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T438" s="52"/>
      <c r="U438" s="52"/>
      <c r="V438" s="52"/>
    </row>
    <row r="439">
      <c r="B439" s="44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T439" s="52"/>
      <c r="U439" s="52"/>
      <c r="V439" s="52"/>
    </row>
    <row r="440">
      <c r="B440" s="44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T440" s="52"/>
      <c r="U440" s="52"/>
      <c r="V440" s="52"/>
    </row>
    <row r="441">
      <c r="B441" s="44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T441" s="52"/>
      <c r="U441" s="52"/>
      <c r="V441" s="52"/>
    </row>
    <row r="442">
      <c r="B442" s="44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T442" s="52"/>
      <c r="U442" s="52"/>
      <c r="V442" s="52"/>
    </row>
    <row r="443">
      <c r="B443" s="44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T443" s="52"/>
      <c r="U443" s="52"/>
      <c r="V443" s="52"/>
    </row>
    <row r="444">
      <c r="B444" s="44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T444" s="52"/>
      <c r="U444" s="52"/>
      <c r="V444" s="52"/>
    </row>
    <row r="445">
      <c r="B445" s="44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T445" s="52"/>
      <c r="U445" s="52"/>
      <c r="V445" s="52"/>
    </row>
    <row r="446">
      <c r="B446" s="44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T446" s="52"/>
      <c r="U446" s="52"/>
      <c r="V446" s="52"/>
    </row>
    <row r="447">
      <c r="B447" s="44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T447" s="52"/>
      <c r="U447" s="52"/>
      <c r="V447" s="52"/>
    </row>
    <row r="448">
      <c r="B448" s="44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T448" s="52"/>
      <c r="U448" s="52"/>
      <c r="V448" s="52"/>
    </row>
    <row r="449">
      <c r="B449" s="44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T449" s="52"/>
      <c r="U449" s="52"/>
      <c r="V449" s="52"/>
    </row>
    <row r="450">
      <c r="B450" s="44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T450" s="52"/>
      <c r="U450" s="52"/>
      <c r="V450" s="52"/>
    </row>
    <row r="451">
      <c r="B451" s="44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T451" s="52"/>
      <c r="U451" s="52"/>
      <c r="V451" s="52"/>
    </row>
    <row r="452">
      <c r="B452" s="44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T452" s="52"/>
      <c r="U452" s="52"/>
      <c r="V452" s="52"/>
    </row>
    <row r="453">
      <c r="B453" s="44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T453" s="52"/>
      <c r="U453" s="52"/>
      <c r="V453" s="52"/>
    </row>
    <row r="454">
      <c r="B454" s="44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T454" s="52"/>
      <c r="U454" s="52"/>
      <c r="V454" s="52"/>
    </row>
    <row r="455">
      <c r="B455" s="44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T455" s="52"/>
      <c r="U455" s="52"/>
      <c r="V455" s="52"/>
    </row>
    <row r="456">
      <c r="B456" s="44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T456" s="52"/>
      <c r="U456" s="52"/>
      <c r="V456" s="52"/>
    </row>
    <row r="457">
      <c r="B457" s="44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T457" s="52"/>
      <c r="U457" s="52"/>
      <c r="V457" s="52"/>
    </row>
    <row r="458">
      <c r="B458" s="44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T458" s="52"/>
      <c r="U458" s="52"/>
      <c r="V458" s="52"/>
    </row>
    <row r="459">
      <c r="B459" s="44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T459" s="52"/>
      <c r="U459" s="52"/>
      <c r="V459" s="52"/>
    </row>
    <row r="460">
      <c r="B460" s="44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T460" s="52"/>
      <c r="U460" s="52"/>
      <c r="V460" s="52"/>
    </row>
    <row r="461">
      <c r="B461" s="44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T461" s="52"/>
      <c r="U461" s="52"/>
      <c r="V461" s="52"/>
    </row>
    <row r="462">
      <c r="B462" s="44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T462" s="52"/>
      <c r="U462" s="52"/>
      <c r="V462" s="52"/>
    </row>
    <row r="463">
      <c r="B463" s="44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T463" s="52"/>
      <c r="U463" s="52"/>
      <c r="V463" s="52"/>
    </row>
    <row r="464">
      <c r="B464" s="44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T464" s="52"/>
      <c r="U464" s="52"/>
      <c r="V464" s="52"/>
    </row>
    <row r="465">
      <c r="B465" s="44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T465" s="52"/>
      <c r="U465" s="52"/>
      <c r="V465" s="52"/>
    </row>
    <row r="466">
      <c r="B466" s="44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T466" s="52"/>
      <c r="U466" s="52"/>
      <c r="V466" s="52"/>
    </row>
    <row r="467">
      <c r="B467" s="44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T467" s="52"/>
      <c r="U467" s="52"/>
      <c r="V467" s="52"/>
    </row>
    <row r="468">
      <c r="B468" s="44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T468" s="52"/>
      <c r="U468" s="52"/>
      <c r="V468" s="52"/>
    </row>
    <row r="469">
      <c r="B469" s="44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T469" s="52"/>
      <c r="U469" s="52"/>
      <c r="V469" s="52"/>
    </row>
    <row r="470">
      <c r="B470" s="44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T470" s="52"/>
      <c r="U470" s="52"/>
      <c r="V470" s="52"/>
    </row>
    <row r="471">
      <c r="B471" s="44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T471" s="52"/>
      <c r="U471" s="52"/>
      <c r="V471" s="52"/>
    </row>
    <row r="472">
      <c r="B472" s="44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T472" s="52"/>
      <c r="U472" s="52"/>
      <c r="V472" s="52"/>
    </row>
    <row r="473">
      <c r="B473" s="44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T473" s="52"/>
      <c r="U473" s="52"/>
      <c r="V473" s="52"/>
    </row>
    <row r="474">
      <c r="B474" s="44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T474" s="52"/>
      <c r="U474" s="52"/>
      <c r="V474" s="52"/>
    </row>
    <row r="475">
      <c r="B475" s="44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T475" s="52"/>
      <c r="U475" s="52"/>
      <c r="V475" s="52"/>
    </row>
    <row r="476">
      <c r="B476" s="44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T476" s="52"/>
      <c r="U476" s="52"/>
      <c r="V476" s="52"/>
    </row>
    <row r="477">
      <c r="B477" s="44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T477" s="52"/>
      <c r="U477" s="52"/>
      <c r="V477" s="52"/>
    </row>
    <row r="478">
      <c r="B478" s="44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T478" s="52"/>
      <c r="U478" s="52"/>
      <c r="V478" s="52"/>
    </row>
    <row r="479">
      <c r="B479" s="44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T479" s="52"/>
      <c r="U479" s="52"/>
      <c r="V479" s="52"/>
    </row>
    <row r="480">
      <c r="B480" s="44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T480" s="52"/>
      <c r="U480" s="52"/>
      <c r="V480" s="52"/>
    </row>
    <row r="481">
      <c r="B481" s="44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T481" s="52"/>
      <c r="U481" s="52"/>
      <c r="V481" s="52"/>
    </row>
    <row r="482">
      <c r="B482" s="44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T482" s="52"/>
      <c r="U482" s="52"/>
      <c r="V482" s="52"/>
    </row>
    <row r="483">
      <c r="B483" s="44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T483" s="52"/>
      <c r="U483" s="52"/>
      <c r="V483" s="52"/>
    </row>
    <row r="484">
      <c r="B484" s="44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T484" s="52"/>
      <c r="U484" s="52"/>
      <c r="V484" s="52"/>
    </row>
    <row r="485">
      <c r="B485" s="44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T485" s="52"/>
      <c r="U485" s="52"/>
      <c r="V485" s="52"/>
    </row>
    <row r="486">
      <c r="B486" s="44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T486" s="52"/>
      <c r="U486" s="52"/>
      <c r="V486" s="52"/>
    </row>
    <row r="487">
      <c r="B487" s="44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T487" s="52"/>
      <c r="U487" s="52"/>
      <c r="V487" s="52"/>
    </row>
    <row r="488">
      <c r="B488" s="44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T488" s="52"/>
      <c r="U488" s="52"/>
      <c r="V488" s="52"/>
    </row>
    <row r="489">
      <c r="B489" s="44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T489" s="52"/>
      <c r="U489" s="52"/>
      <c r="V489" s="52"/>
    </row>
    <row r="490">
      <c r="B490" s="44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T490" s="52"/>
      <c r="U490" s="52"/>
      <c r="V490" s="52"/>
    </row>
    <row r="491">
      <c r="B491" s="44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T491" s="52"/>
      <c r="U491" s="52"/>
      <c r="V491" s="52"/>
    </row>
    <row r="492">
      <c r="B492" s="44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T492" s="52"/>
      <c r="U492" s="52"/>
      <c r="V492" s="52"/>
    </row>
    <row r="493">
      <c r="B493" s="44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T493" s="52"/>
      <c r="U493" s="52"/>
      <c r="V493" s="52"/>
    </row>
    <row r="494">
      <c r="B494" s="44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T494" s="52"/>
      <c r="U494" s="52"/>
      <c r="V494" s="52"/>
    </row>
    <row r="495">
      <c r="B495" s="44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T495" s="52"/>
      <c r="U495" s="52"/>
      <c r="V495" s="52"/>
    </row>
    <row r="496">
      <c r="B496" s="44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T496" s="52"/>
      <c r="U496" s="52"/>
      <c r="V496" s="52"/>
    </row>
    <row r="497">
      <c r="B497" s="44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T497" s="52"/>
      <c r="U497" s="52"/>
      <c r="V497" s="52"/>
    </row>
    <row r="498">
      <c r="B498" s="44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T498" s="52"/>
      <c r="U498" s="52"/>
      <c r="V498" s="52"/>
    </row>
    <row r="499">
      <c r="B499" s="44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T499" s="52"/>
      <c r="U499" s="52"/>
      <c r="V499" s="52"/>
    </row>
    <row r="500">
      <c r="B500" s="4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T500" s="52"/>
      <c r="U500" s="52"/>
      <c r="V500" s="52"/>
    </row>
    <row r="501">
      <c r="B501" s="44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T501" s="52"/>
      <c r="U501" s="52"/>
      <c r="V501" s="52"/>
    </row>
    <row r="502">
      <c r="B502" s="44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T502" s="52"/>
      <c r="U502" s="52"/>
      <c r="V502" s="52"/>
    </row>
    <row r="503">
      <c r="B503" s="44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T503" s="52"/>
      <c r="U503" s="52"/>
      <c r="V503" s="52"/>
    </row>
    <row r="504">
      <c r="B504" s="44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T504" s="52"/>
      <c r="U504" s="52"/>
      <c r="V504" s="52"/>
    </row>
    <row r="505">
      <c r="B505" s="44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T505" s="52"/>
      <c r="U505" s="52"/>
      <c r="V505" s="52"/>
    </row>
    <row r="506">
      <c r="B506" s="44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T506" s="52"/>
      <c r="U506" s="52"/>
      <c r="V506" s="52"/>
    </row>
    <row r="507">
      <c r="B507" s="44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T507" s="52"/>
      <c r="U507" s="52"/>
      <c r="V507" s="52"/>
    </row>
    <row r="508">
      <c r="B508" s="44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T508" s="52"/>
      <c r="U508" s="52"/>
      <c r="V508" s="52"/>
    </row>
    <row r="509">
      <c r="B509" s="44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T509" s="52"/>
      <c r="U509" s="52"/>
      <c r="V509" s="52"/>
    </row>
    <row r="510">
      <c r="B510" s="44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T510" s="52"/>
      <c r="U510" s="52"/>
      <c r="V510" s="52"/>
    </row>
    <row r="511">
      <c r="B511" s="44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T511" s="52"/>
      <c r="U511" s="52"/>
      <c r="V511" s="52"/>
    </row>
    <row r="512">
      <c r="B512" s="44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T512" s="52"/>
      <c r="U512" s="52"/>
      <c r="V512" s="52"/>
    </row>
    <row r="513">
      <c r="B513" s="44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T513" s="52"/>
      <c r="U513" s="52"/>
      <c r="V513" s="52"/>
    </row>
    <row r="514">
      <c r="B514" s="44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T514" s="52"/>
      <c r="U514" s="52"/>
      <c r="V514" s="52"/>
    </row>
    <row r="515">
      <c r="B515" s="44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T515" s="52"/>
      <c r="U515" s="52"/>
      <c r="V515" s="52"/>
    </row>
    <row r="516">
      <c r="B516" s="44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T516" s="52"/>
      <c r="U516" s="52"/>
      <c r="V516" s="52"/>
    </row>
    <row r="517">
      <c r="B517" s="44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T517" s="52"/>
      <c r="U517" s="52"/>
      <c r="V517" s="52"/>
    </row>
    <row r="518">
      <c r="B518" s="44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T518" s="52"/>
      <c r="U518" s="52"/>
      <c r="V518" s="52"/>
    </row>
    <row r="519">
      <c r="B519" s="44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T519" s="52"/>
      <c r="U519" s="52"/>
      <c r="V519" s="52"/>
    </row>
    <row r="520">
      <c r="B520" s="44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T520" s="52"/>
      <c r="U520" s="52"/>
      <c r="V520" s="52"/>
    </row>
    <row r="521">
      <c r="B521" s="44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T521" s="52"/>
      <c r="U521" s="52"/>
      <c r="V521" s="52"/>
    </row>
    <row r="522">
      <c r="B522" s="44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T522" s="52"/>
      <c r="U522" s="52"/>
      <c r="V522" s="52"/>
    </row>
    <row r="523">
      <c r="B523" s="44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T523" s="52"/>
      <c r="U523" s="52"/>
      <c r="V523" s="52"/>
    </row>
    <row r="524">
      <c r="B524" s="44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T524" s="52"/>
      <c r="U524" s="52"/>
      <c r="V524" s="52"/>
    </row>
    <row r="525">
      <c r="B525" s="44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T525" s="52"/>
      <c r="U525" s="52"/>
      <c r="V525" s="52"/>
    </row>
    <row r="526">
      <c r="B526" s="44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T526" s="52"/>
      <c r="U526" s="52"/>
      <c r="V526" s="52"/>
    </row>
    <row r="527">
      <c r="B527" s="44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T527" s="52"/>
      <c r="U527" s="52"/>
      <c r="V527" s="52"/>
    </row>
    <row r="528">
      <c r="B528" s="44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T528" s="52"/>
      <c r="U528" s="52"/>
      <c r="V528" s="52"/>
    </row>
    <row r="529">
      <c r="B529" s="44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T529" s="52"/>
      <c r="U529" s="52"/>
      <c r="V529" s="52"/>
    </row>
    <row r="530">
      <c r="B530" s="44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T530" s="52"/>
      <c r="U530" s="52"/>
      <c r="V530" s="52"/>
    </row>
    <row r="531">
      <c r="B531" s="44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T531" s="52"/>
      <c r="U531" s="52"/>
      <c r="V531" s="52"/>
    </row>
    <row r="532">
      <c r="B532" s="44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T532" s="52"/>
      <c r="U532" s="52"/>
      <c r="V532" s="52"/>
    </row>
    <row r="533">
      <c r="B533" s="44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T533" s="52"/>
      <c r="U533" s="52"/>
      <c r="V533" s="52"/>
    </row>
    <row r="534">
      <c r="B534" s="44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T534" s="52"/>
      <c r="U534" s="52"/>
      <c r="V534" s="52"/>
    </row>
    <row r="535">
      <c r="B535" s="44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T535" s="52"/>
      <c r="U535" s="52"/>
      <c r="V535" s="52"/>
    </row>
    <row r="536">
      <c r="B536" s="44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T536" s="52"/>
      <c r="U536" s="52"/>
      <c r="V536" s="52"/>
    </row>
    <row r="537">
      <c r="B537" s="44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T537" s="52"/>
      <c r="U537" s="52"/>
      <c r="V537" s="52"/>
    </row>
    <row r="538">
      <c r="B538" s="44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T538" s="52"/>
      <c r="U538" s="52"/>
      <c r="V538" s="52"/>
    </row>
    <row r="539">
      <c r="B539" s="44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T539" s="52"/>
      <c r="U539" s="52"/>
      <c r="V539" s="52"/>
    </row>
    <row r="540">
      <c r="B540" s="44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T540" s="52"/>
      <c r="U540" s="52"/>
      <c r="V540" s="52"/>
    </row>
    <row r="541">
      <c r="B541" s="44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T541" s="52"/>
      <c r="U541" s="52"/>
      <c r="V541" s="52"/>
    </row>
    <row r="542">
      <c r="B542" s="44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T542" s="52"/>
      <c r="U542" s="52"/>
      <c r="V542" s="52"/>
    </row>
    <row r="543">
      <c r="B543" s="44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T543" s="52"/>
      <c r="U543" s="52"/>
      <c r="V543" s="52"/>
    </row>
    <row r="544">
      <c r="B544" s="44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T544" s="52"/>
      <c r="U544" s="52"/>
      <c r="V544" s="52"/>
    </row>
    <row r="545">
      <c r="B545" s="44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T545" s="52"/>
      <c r="U545" s="52"/>
      <c r="V545" s="52"/>
    </row>
    <row r="546">
      <c r="B546" s="44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T546" s="52"/>
      <c r="U546" s="52"/>
      <c r="V546" s="52"/>
    </row>
    <row r="547">
      <c r="B547" s="44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T547" s="52"/>
      <c r="U547" s="52"/>
      <c r="V547" s="52"/>
    </row>
    <row r="548">
      <c r="B548" s="44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T548" s="52"/>
      <c r="U548" s="52"/>
      <c r="V548" s="52"/>
    </row>
    <row r="549">
      <c r="B549" s="44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T549" s="52"/>
      <c r="U549" s="52"/>
      <c r="V549" s="52"/>
    </row>
    <row r="550">
      <c r="B550" s="44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T550" s="52"/>
      <c r="U550" s="52"/>
      <c r="V550" s="52"/>
    </row>
    <row r="551">
      <c r="B551" s="44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T551" s="52"/>
      <c r="U551" s="52"/>
      <c r="V551" s="52"/>
    </row>
    <row r="552">
      <c r="B552" s="44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T552" s="52"/>
      <c r="U552" s="52"/>
      <c r="V552" s="52"/>
    </row>
    <row r="553">
      <c r="B553" s="44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T553" s="52"/>
      <c r="U553" s="52"/>
      <c r="V553" s="52"/>
    </row>
    <row r="554">
      <c r="B554" s="44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T554" s="52"/>
      <c r="U554" s="52"/>
      <c r="V554" s="52"/>
    </row>
    <row r="555">
      <c r="B555" s="44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T555" s="52"/>
      <c r="U555" s="52"/>
      <c r="V555" s="52"/>
    </row>
    <row r="556">
      <c r="B556" s="44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T556" s="52"/>
      <c r="U556" s="52"/>
      <c r="V556" s="52"/>
    </row>
    <row r="557">
      <c r="B557" s="44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T557" s="52"/>
      <c r="U557" s="52"/>
      <c r="V557" s="52"/>
    </row>
    <row r="558">
      <c r="B558" s="44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T558" s="52"/>
      <c r="U558" s="52"/>
      <c r="V558" s="52"/>
    </row>
    <row r="559">
      <c r="B559" s="44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T559" s="52"/>
      <c r="U559" s="52"/>
      <c r="V559" s="52"/>
    </row>
    <row r="560">
      <c r="B560" s="44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T560" s="52"/>
      <c r="U560" s="52"/>
      <c r="V560" s="52"/>
    </row>
    <row r="561">
      <c r="B561" s="44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T561" s="52"/>
      <c r="U561" s="52"/>
      <c r="V561" s="52"/>
    </row>
    <row r="562">
      <c r="B562" s="44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T562" s="52"/>
      <c r="U562" s="52"/>
      <c r="V562" s="52"/>
    </row>
    <row r="563">
      <c r="B563" s="44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T563" s="52"/>
      <c r="U563" s="52"/>
      <c r="V563" s="52"/>
    </row>
    <row r="564">
      <c r="B564" s="44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T564" s="52"/>
      <c r="U564" s="52"/>
      <c r="V564" s="52"/>
    </row>
    <row r="565">
      <c r="B565" s="44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T565" s="52"/>
      <c r="U565" s="52"/>
      <c r="V565" s="52"/>
    </row>
    <row r="566">
      <c r="B566" s="44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T566" s="52"/>
      <c r="U566" s="52"/>
      <c r="V566" s="52"/>
    </row>
    <row r="567">
      <c r="B567" s="44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T567" s="52"/>
      <c r="U567" s="52"/>
      <c r="V567" s="52"/>
    </row>
    <row r="568">
      <c r="B568" s="44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T568" s="52"/>
      <c r="U568" s="52"/>
      <c r="V568" s="52"/>
    </row>
    <row r="569">
      <c r="B569" s="44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T569" s="52"/>
      <c r="U569" s="52"/>
      <c r="V569" s="52"/>
    </row>
    <row r="570">
      <c r="B570" s="44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T570" s="52"/>
      <c r="U570" s="52"/>
      <c r="V570" s="52"/>
    </row>
    <row r="571">
      <c r="B571" s="44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T571" s="52"/>
      <c r="U571" s="52"/>
      <c r="V571" s="52"/>
    </row>
    <row r="572">
      <c r="B572" s="44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T572" s="52"/>
      <c r="U572" s="52"/>
      <c r="V572" s="52"/>
    </row>
    <row r="573">
      <c r="B573" s="44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T573" s="52"/>
      <c r="U573" s="52"/>
      <c r="V573" s="52"/>
    </row>
    <row r="574">
      <c r="B574" s="44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T574" s="52"/>
      <c r="U574" s="52"/>
      <c r="V574" s="52"/>
    </row>
    <row r="575">
      <c r="B575" s="44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T575" s="52"/>
      <c r="U575" s="52"/>
      <c r="V575" s="52"/>
    </row>
    <row r="576">
      <c r="B576" s="44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T576" s="52"/>
      <c r="U576" s="52"/>
      <c r="V576" s="52"/>
    </row>
    <row r="577">
      <c r="B577" s="44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T577" s="52"/>
      <c r="U577" s="52"/>
      <c r="V577" s="52"/>
    </row>
    <row r="578">
      <c r="B578" s="44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T578" s="52"/>
      <c r="U578" s="52"/>
      <c r="V578" s="52"/>
    </row>
    <row r="579">
      <c r="B579" s="44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T579" s="52"/>
      <c r="U579" s="52"/>
      <c r="V579" s="52"/>
    </row>
    <row r="580">
      <c r="B580" s="44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T580" s="52"/>
      <c r="U580" s="52"/>
      <c r="V580" s="52"/>
    </row>
    <row r="581">
      <c r="B581" s="44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T581" s="52"/>
      <c r="U581" s="52"/>
      <c r="V581" s="52"/>
    </row>
    <row r="582">
      <c r="B582" s="44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T582" s="52"/>
      <c r="U582" s="52"/>
      <c r="V582" s="52"/>
    </row>
    <row r="583">
      <c r="B583" s="44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T583" s="52"/>
      <c r="U583" s="52"/>
      <c r="V583" s="52"/>
    </row>
    <row r="584">
      <c r="B584" s="44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T584" s="52"/>
      <c r="U584" s="52"/>
      <c r="V584" s="52"/>
    </row>
    <row r="585">
      <c r="B585" s="44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T585" s="52"/>
      <c r="U585" s="52"/>
      <c r="V585" s="52"/>
    </row>
    <row r="586">
      <c r="B586" s="44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T586" s="52"/>
      <c r="U586" s="52"/>
      <c r="V586" s="52"/>
    </row>
    <row r="587">
      <c r="B587" s="44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T587" s="52"/>
      <c r="U587" s="52"/>
      <c r="V587" s="52"/>
    </row>
    <row r="588">
      <c r="B588" s="44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T588" s="52"/>
      <c r="U588" s="52"/>
      <c r="V588" s="52"/>
    </row>
    <row r="589">
      <c r="B589" s="44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T589" s="52"/>
      <c r="U589" s="52"/>
      <c r="V589" s="52"/>
    </row>
    <row r="590">
      <c r="B590" s="44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T590" s="52"/>
      <c r="U590" s="52"/>
      <c r="V590" s="52"/>
    </row>
    <row r="591">
      <c r="B591" s="44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T591" s="52"/>
      <c r="U591" s="52"/>
      <c r="V591" s="52"/>
    </row>
    <row r="592">
      <c r="B592" s="44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T592" s="52"/>
      <c r="U592" s="52"/>
      <c r="V592" s="52"/>
    </row>
    <row r="593">
      <c r="B593" s="44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T593" s="52"/>
      <c r="U593" s="52"/>
      <c r="V593" s="52"/>
    </row>
    <row r="594">
      <c r="B594" s="44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T594" s="52"/>
      <c r="U594" s="52"/>
      <c r="V594" s="52"/>
    </row>
    <row r="595">
      <c r="B595" s="44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T595" s="52"/>
      <c r="U595" s="52"/>
      <c r="V595" s="52"/>
    </row>
    <row r="596">
      <c r="B596" s="44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T596" s="52"/>
      <c r="U596" s="52"/>
      <c r="V596" s="52"/>
    </row>
    <row r="597">
      <c r="B597" s="44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T597" s="52"/>
      <c r="U597" s="52"/>
      <c r="V597" s="52"/>
    </row>
    <row r="598">
      <c r="B598" s="44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T598" s="52"/>
      <c r="U598" s="52"/>
      <c r="V598" s="52"/>
    </row>
    <row r="599">
      <c r="B599" s="44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T599" s="52"/>
      <c r="U599" s="52"/>
      <c r="V599" s="52"/>
    </row>
    <row r="600">
      <c r="B600" s="44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T600" s="52"/>
      <c r="U600" s="52"/>
      <c r="V600" s="52"/>
    </row>
    <row r="601">
      <c r="B601" s="44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T601" s="52"/>
      <c r="U601" s="52"/>
      <c r="V601" s="52"/>
    </row>
    <row r="602">
      <c r="B602" s="44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T602" s="52"/>
      <c r="U602" s="52"/>
      <c r="V602" s="52"/>
    </row>
    <row r="603">
      <c r="B603" s="44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T603" s="52"/>
      <c r="U603" s="52"/>
      <c r="V603" s="52"/>
    </row>
    <row r="604">
      <c r="B604" s="44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T604" s="52"/>
      <c r="U604" s="52"/>
      <c r="V604" s="52"/>
    </row>
    <row r="605">
      <c r="B605" s="44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T605" s="52"/>
      <c r="U605" s="52"/>
      <c r="V605" s="52"/>
    </row>
    <row r="606">
      <c r="B606" s="44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T606" s="52"/>
      <c r="U606" s="52"/>
      <c r="V606" s="52"/>
    </row>
    <row r="607">
      <c r="B607" s="44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T607" s="52"/>
      <c r="U607" s="52"/>
      <c r="V607" s="52"/>
    </row>
    <row r="608">
      <c r="B608" s="44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T608" s="52"/>
      <c r="U608" s="52"/>
      <c r="V608" s="52"/>
    </row>
    <row r="609">
      <c r="B609" s="44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T609" s="52"/>
      <c r="U609" s="52"/>
      <c r="V609" s="52"/>
    </row>
    <row r="610">
      <c r="B610" s="44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T610" s="52"/>
      <c r="U610" s="52"/>
      <c r="V610" s="52"/>
    </row>
    <row r="611">
      <c r="B611" s="44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T611" s="52"/>
      <c r="U611" s="52"/>
      <c r="V611" s="52"/>
    </row>
    <row r="612">
      <c r="B612" s="44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T612" s="52"/>
      <c r="U612" s="52"/>
      <c r="V612" s="52"/>
    </row>
    <row r="613">
      <c r="B613" s="44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T613" s="52"/>
      <c r="U613" s="52"/>
      <c r="V613" s="52"/>
    </row>
    <row r="614">
      <c r="B614" s="44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T614" s="52"/>
      <c r="U614" s="52"/>
      <c r="V614" s="52"/>
    </row>
    <row r="615">
      <c r="B615" s="44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T615" s="52"/>
      <c r="U615" s="52"/>
      <c r="V615" s="52"/>
    </row>
    <row r="616">
      <c r="B616" s="44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T616" s="52"/>
      <c r="U616" s="52"/>
      <c r="V616" s="52"/>
    </row>
    <row r="617">
      <c r="B617" s="44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T617" s="52"/>
      <c r="U617" s="52"/>
      <c r="V617" s="52"/>
    </row>
    <row r="618">
      <c r="B618" s="44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T618" s="52"/>
      <c r="U618" s="52"/>
      <c r="V618" s="52"/>
    </row>
    <row r="619">
      <c r="B619" s="44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T619" s="52"/>
      <c r="U619" s="52"/>
      <c r="V619" s="52"/>
    </row>
    <row r="620">
      <c r="B620" s="44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T620" s="52"/>
      <c r="U620" s="52"/>
      <c r="V620" s="52"/>
    </row>
    <row r="621">
      <c r="B621" s="44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T621" s="52"/>
      <c r="U621" s="52"/>
      <c r="V621" s="52"/>
    </row>
    <row r="622">
      <c r="B622" s="44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T622" s="52"/>
      <c r="U622" s="52"/>
      <c r="V622" s="52"/>
    </row>
    <row r="623">
      <c r="B623" s="44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T623" s="52"/>
      <c r="U623" s="52"/>
      <c r="V623" s="52"/>
    </row>
    <row r="624">
      <c r="B624" s="44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T624" s="52"/>
      <c r="U624" s="52"/>
      <c r="V624" s="52"/>
    </row>
    <row r="625">
      <c r="B625" s="44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T625" s="52"/>
      <c r="U625" s="52"/>
      <c r="V625" s="52"/>
    </row>
    <row r="626">
      <c r="B626" s="44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T626" s="52"/>
      <c r="U626" s="52"/>
      <c r="V626" s="52"/>
    </row>
    <row r="627">
      <c r="B627" s="44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T627" s="52"/>
      <c r="U627" s="52"/>
      <c r="V627" s="52"/>
    </row>
    <row r="628">
      <c r="B628" s="44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T628" s="52"/>
      <c r="U628" s="52"/>
      <c r="V628" s="52"/>
    </row>
    <row r="629">
      <c r="B629" s="44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T629" s="52"/>
      <c r="U629" s="52"/>
      <c r="V629" s="52"/>
    </row>
    <row r="630">
      <c r="B630" s="44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T630" s="52"/>
      <c r="U630" s="52"/>
      <c r="V630" s="52"/>
    </row>
    <row r="631">
      <c r="B631" s="44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T631" s="52"/>
      <c r="U631" s="52"/>
      <c r="V631" s="52"/>
    </row>
    <row r="632">
      <c r="B632" s="44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T632" s="52"/>
      <c r="U632" s="52"/>
      <c r="V632" s="52"/>
    </row>
    <row r="633">
      <c r="B633" s="44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T633" s="52"/>
      <c r="U633" s="52"/>
      <c r="V633" s="52"/>
    </row>
    <row r="634">
      <c r="B634" s="44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T634" s="52"/>
      <c r="U634" s="52"/>
      <c r="V634" s="52"/>
    </row>
    <row r="635">
      <c r="B635" s="44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T635" s="52"/>
      <c r="U635" s="52"/>
      <c r="V635" s="52"/>
    </row>
    <row r="636">
      <c r="B636" s="44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T636" s="52"/>
      <c r="U636" s="52"/>
      <c r="V636" s="52"/>
    </row>
    <row r="637">
      <c r="B637" s="44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T637" s="52"/>
      <c r="U637" s="52"/>
      <c r="V637" s="52"/>
    </row>
    <row r="638">
      <c r="B638" s="44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T638" s="52"/>
      <c r="U638" s="52"/>
      <c r="V638" s="52"/>
    </row>
    <row r="639">
      <c r="B639" s="44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T639" s="52"/>
      <c r="U639" s="52"/>
      <c r="V639" s="52"/>
    </row>
    <row r="640">
      <c r="B640" s="44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T640" s="52"/>
      <c r="U640" s="52"/>
      <c r="V640" s="52"/>
    </row>
    <row r="641">
      <c r="B641" s="44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T641" s="52"/>
      <c r="U641" s="52"/>
      <c r="V641" s="52"/>
    </row>
    <row r="642">
      <c r="B642" s="44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T642" s="52"/>
      <c r="U642" s="52"/>
      <c r="V642" s="52"/>
    </row>
    <row r="643">
      <c r="B643" s="44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T643" s="52"/>
      <c r="U643" s="52"/>
      <c r="V643" s="52"/>
    </row>
    <row r="644">
      <c r="B644" s="44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T644" s="52"/>
      <c r="U644" s="52"/>
      <c r="V644" s="52"/>
    </row>
    <row r="645">
      <c r="B645" s="44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T645" s="52"/>
      <c r="U645" s="52"/>
      <c r="V645" s="52"/>
    </row>
    <row r="646">
      <c r="B646" s="44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T646" s="52"/>
      <c r="U646" s="52"/>
      <c r="V646" s="52"/>
    </row>
    <row r="647">
      <c r="B647" s="44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T647" s="52"/>
      <c r="U647" s="52"/>
      <c r="V647" s="52"/>
    </row>
    <row r="648">
      <c r="B648" s="44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T648" s="52"/>
      <c r="U648" s="52"/>
      <c r="V648" s="52"/>
    </row>
    <row r="649">
      <c r="B649" s="44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T649" s="52"/>
      <c r="U649" s="52"/>
      <c r="V649" s="52"/>
    </row>
    <row r="650">
      <c r="B650" s="44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T650" s="52"/>
      <c r="U650" s="52"/>
      <c r="V650" s="52"/>
    </row>
    <row r="651">
      <c r="B651" s="44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T651" s="52"/>
      <c r="U651" s="52"/>
      <c r="V651" s="52"/>
    </row>
    <row r="652">
      <c r="B652" s="44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T652" s="52"/>
      <c r="U652" s="52"/>
      <c r="V652" s="52"/>
    </row>
    <row r="653">
      <c r="B653" s="44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T653" s="52"/>
      <c r="U653" s="52"/>
      <c r="V653" s="52"/>
    </row>
    <row r="654">
      <c r="B654" s="44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T654" s="52"/>
      <c r="U654" s="52"/>
      <c r="V654" s="52"/>
    </row>
    <row r="655">
      <c r="B655" s="44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T655" s="52"/>
      <c r="U655" s="52"/>
      <c r="V655" s="52"/>
    </row>
    <row r="656">
      <c r="B656" s="44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T656" s="52"/>
      <c r="U656" s="52"/>
      <c r="V656" s="52"/>
    </row>
    <row r="657">
      <c r="B657" s="44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T657" s="52"/>
      <c r="U657" s="52"/>
      <c r="V657" s="52"/>
    </row>
    <row r="658">
      <c r="B658" s="44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T658" s="52"/>
      <c r="U658" s="52"/>
      <c r="V658" s="52"/>
    </row>
    <row r="659">
      <c r="B659" s="44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T659" s="52"/>
      <c r="U659" s="52"/>
      <c r="V659" s="52"/>
    </row>
    <row r="660">
      <c r="B660" s="44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T660" s="52"/>
      <c r="U660" s="52"/>
      <c r="V660" s="52"/>
    </row>
    <row r="661">
      <c r="B661" s="44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T661" s="52"/>
      <c r="U661" s="52"/>
      <c r="V661" s="52"/>
    </row>
    <row r="662">
      <c r="B662" s="44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T662" s="52"/>
      <c r="U662" s="52"/>
      <c r="V662" s="52"/>
    </row>
    <row r="663">
      <c r="B663" s="44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T663" s="52"/>
      <c r="U663" s="52"/>
      <c r="V663" s="52"/>
    </row>
    <row r="664">
      <c r="B664" s="44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T664" s="52"/>
      <c r="U664" s="52"/>
      <c r="V664" s="52"/>
    </row>
    <row r="665">
      <c r="B665" s="44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T665" s="52"/>
      <c r="U665" s="52"/>
      <c r="V665" s="52"/>
    </row>
    <row r="666">
      <c r="B666" s="44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T666" s="52"/>
      <c r="U666" s="52"/>
      <c r="V666" s="52"/>
    </row>
    <row r="667">
      <c r="B667" s="44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T667" s="52"/>
      <c r="U667" s="52"/>
      <c r="V667" s="52"/>
    </row>
    <row r="668">
      <c r="B668" s="44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T668" s="52"/>
      <c r="U668" s="52"/>
      <c r="V668" s="52"/>
    </row>
    <row r="669">
      <c r="B669" s="44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T669" s="52"/>
      <c r="U669" s="52"/>
      <c r="V669" s="52"/>
    </row>
    <row r="670">
      <c r="B670" s="44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T670" s="52"/>
      <c r="U670" s="52"/>
      <c r="V670" s="52"/>
    </row>
    <row r="671">
      <c r="B671" s="44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T671" s="52"/>
      <c r="U671" s="52"/>
      <c r="V671" s="52"/>
    </row>
    <row r="672">
      <c r="B672" s="44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T672" s="52"/>
      <c r="U672" s="52"/>
      <c r="V672" s="52"/>
    </row>
    <row r="673">
      <c r="B673" s="44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T673" s="52"/>
      <c r="U673" s="52"/>
      <c r="V673" s="52"/>
    </row>
    <row r="674">
      <c r="B674" s="44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T674" s="52"/>
      <c r="U674" s="52"/>
      <c r="V674" s="52"/>
    </row>
    <row r="675">
      <c r="B675" s="44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T675" s="52"/>
      <c r="U675" s="52"/>
      <c r="V675" s="52"/>
    </row>
    <row r="676">
      <c r="B676" s="44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T676" s="52"/>
      <c r="U676" s="52"/>
      <c r="V676" s="52"/>
    </row>
    <row r="677">
      <c r="B677" s="44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T677" s="52"/>
      <c r="U677" s="52"/>
      <c r="V677" s="52"/>
    </row>
    <row r="678">
      <c r="B678" s="44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T678" s="52"/>
      <c r="U678" s="52"/>
      <c r="V678" s="52"/>
    </row>
    <row r="679">
      <c r="B679" s="44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T679" s="52"/>
      <c r="U679" s="52"/>
      <c r="V679" s="52"/>
    </row>
    <row r="680">
      <c r="B680" s="44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T680" s="52"/>
      <c r="U680" s="52"/>
      <c r="V680" s="52"/>
    </row>
    <row r="681">
      <c r="B681" s="44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T681" s="52"/>
      <c r="U681" s="52"/>
      <c r="V681" s="52"/>
    </row>
    <row r="682">
      <c r="B682" s="44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T682" s="52"/>
      <c r="U682" s="52"/>
      <c r="V682" s="52"/>
    </row>
    <row r="683">
      <c r="B683" s="44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T683" s="52"/>
      <c r="U683" s="52"/>
      <c r="V683" s="52"/>
    </row>
    <row r="684">
      <c r="B684" s="44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T684" s="52"/>
      <c r="U684" s="52"/>
      <c r="V684" s="52"/>
    </row>
    <row r="685">
      <c r="B685" s="44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T685" s="52"/>
      <c r="U685" s="52"/>
      <c r="V685" s="52"/>
    </row>
    <row r="686">
      <c r="B686" s="44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T686" s="52"/>
      <c r="U686" s="52"/>
      <c r="V686" s="52"/>
    </row>
    <row r="687">
      <c r="B687" s="44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T687" s="52"/>
      <c r="U687" s="52"/>
      <c r="V687" s="52"/>
    </row>
    <row r="688">
      <c r="B688" s="44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T688" s="52"/>
      <c r="U688" s="52"/>
      <c r="V688" s="52"/>
    </row>
    <row r="689">
      <c r="B689" s="44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T689" s="52"/>
      <c r="U689" s="52"/>
      <c r="V689" s="52"/>
    </row>
    <row r="690">
      <c r="B690" s="44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T690" s="52"/>
      <c r="U690" s="52"/>
      <c r="V690" s="52"/>
    </row>
    <row r="691">
      <c r="B691" s="44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T691" s="52"/>
      <c r="U691" s="52"/>
      <c r="V691" s="52"/>
    </row>
    <row r="692">
      <c r="B692" s="44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T692" s="52"/>
      <c r="U692" s="52"/>
      <c r="V692" s="52"/>
    </row>
    <row r="693">
      <c r="B693" s="44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T693" s="52"/>
      <c r="U693" s="52"/>
      <c r="V693" s="52"/>
    </row>
    <row r="694">
      <c r="B694" s="44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T694" s="52"/>
      <c r="U694" s="52"/>
      <c r="V694" s="52"/>
    </row>
    <row r="695">
      <c r="B695" s="44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T695" s="52"/>
      <c r="U695" s="52"/>
      <c r="V695" s="52"/>
    </row>
    <row r="696">
      <c r="B696" s="44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T696" s="52"/>
      <c r="U696" s="52"/>
      <c r="V696" s="52"/>
    </row>
    <row r="697">
      <c r="B697" s="44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T697" s="52"/>
      <c r="U697" s="52"/>
      <c r="V697" s="52"/>
    </row>
    <row r="698">
      <c r="B698" s="44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T698" s="52"/>
      <c r="U698" s="52"/>
      <c r="V698" s="52"/>
    </row>
    <row r="699">
      <c r="B699" s="44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T699" s="52"/>
      <c r="U699" s="52"/>
      <c r="V699" s="52"/>
    </row>
    <row r="700">
      <c r="B700" s="44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T700" s="52"/>
      <c r="U700" s="52"/>
      <c r="V700" s="52"/>
    </row>
    <row r="701">
      <c r="B701" s="44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T701" s="52"/>
      <c r="U701" s="52"/>
      <c r="V701" s="52"/>
    </row>
    <row r="702">
      <c r="B702" s="44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T702" s="52"/>
      <c r="U702" s="52"/>
      <c r="V702" s="52"/>
    </row>
    <row r="703">
      <c r="B703" s="44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T703" s="52"/>
      <c r="U703" s="52"/>
      <c r="V703" s="52"/>
    </row>
    <row r="704">
      <c r="B704" s="44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T704" s="52"/>
      <c r="U704" s="52"/>
      <c r="V704" s="52"/>
    </row>
    <row r="705">
      <c r="B705" s="44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T705" s="52"/>
      <c r="U705" s="52"/>
      <c r="V705" s="52"/>
    </row>
    <row r="706">
      <c r="B706" s="44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T706" s="52"/>
      <c r="U706" s="52"/>
      <c r="V706" s="52"/>
    </row>
    <row r="707">
      <c r="B707" s="44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T707" s="52"/>
      <c r="U707" s="52"/>
      <c r="V707" s="52"/>
    </row>
    <row r="708">
      <c r="B708" s="44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T708" s="52"/>
      <c r="U708" s="52"/>
      <c r="V708" s="52"/>
    </row>
    <row r="709">
      <c r="B709" s="44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T709" s="52"/>
      <c r="U709" s="52"/>
      <c r="V709" s="52"/>
    </row>
    <row r="710">
      <c r="B710" s="44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T710" s="52"/>
      <c r="U710" s="52"/>
      <c r="V710" s="52"/>
    </row>
    <row r="711">
      <c r="B711" s="44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T711" s="52"/>
      <c r="U711" s="52"/>
      <c r="V711" s="52"/>
    </row>
    <row r="712">
      <c r="B712" s="44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T712" s="52"/>
      <c r="U712" s="52"/>
      <c r="V712" s="52"/>
    </row>
    <row r="713">
      <c r="B713" s="44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T713" s="52"/>
      <c r="U713" s="52"/>
      <c r="V713" s="52"/>
    </row>
    <row r="714">
      <c r="B714" s="44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T714" s="52"/>
      <c r="U714" s="52"/>
      <c r="V714" s="52"/>
    </row>
    <row r="715">
      <c r="B715" s="44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T715" s="52"/>
      <c r="U715" s="52"/>
      <c r="V715" s="52"/>
    </row>
    <row r="716">
      <c r="B716" s="44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T716" s="52"/>
      <c r="U716" s="52"/>
      <c r="V716" s="52"/>
    </row>
    <row r="717">
      <c r="B717" s="44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T717" s="52"/>
      <c r="U717" s="52"/>
      <c r="V717" s="52"/>
    </row>
    <row r="718">
      <c r="B718" s="44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T718" s="52"/>
      <c r="U718" s="52"/>
      <c r="V718" s="52"/>
    </row>
    <row r="719">
      <c r="B719" s="44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T719" s="52"/>
      <c r="U719" s="52"/>
      <c r="V719" s="52"/>
    </row>
    <row r="720">
      <c r="B720" s="44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T720" s="52"/>
      <c r="U720" s="52"/>
      <c r="V720" s="52"/>
    </row>
    <row r="721">
      <c r="B721" s="44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T721" s="52"/>
      <c r="U721" s="52"/>
      <c r="V721" s="52"/>
    </row>
    <row r="722">
      <c r="B722" s="44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T722" s="52"/>
      <c r="U722" s="52"/>
      <c r="V722" s="52"/>
    </row>
    <row r="723">
      <c r="B723" s="44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T723" s="52"/>
      <c r="U723" s="52"/>
      <c r="V723" s="52"/>
    </row>
    <row r="724">
      <c r="B724" s="44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T724" s="52"/>
      <c r="U724" s="52"/>
      <c r="V724" s="52"/>
    </row>
    <row r="725">
      <c r="B725" s="44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T725" s="52"/>
      <c r="U725" s="52"/>
      <c r="V725" s="52"/>
    </row>
    <row r="726">
      <c r="B726" s="44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T726" s="52"/>
      <c r="U726" s="52"/>
      <c r="V726" s="52"/>
    </row>
    <row r="727">
      <c r="B727" s="44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T727" s="52"/>
      <c r="U727" s="52"/>
      <c r="V727" s="52"/>
    </row>
    <row r="728">
      <c r="B728" s="44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T728" s="52"/>
      <c r="U728" s="52"/>
      <c r="V728" s="52"/>
    </row>
    <row r="729">
      <c r="B729" s="44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T729" s="52"/>
      <c r="U729" s="52"/>
      <c r="V729" s="52"/>
    </row>
    <row r="730">
      <c r="B730" s="44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T730" s="52"/>
      <c r="U730" s="52"/>
      <c r="V730" s="52"/>
    </row>
    <row r="731">
      <c r="B731" s="44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T731" s="52"/>
      <c r="U731" s="52"/>
      <c r="V731" s="52"/>
    </row>
    <row r="732">
      <c r="B732" s="44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T732" s="52"/>
      <c r="U732" s="52"/>
      <c r="V732" s="52"/>
    </row>
    <row r="733">
      <c r="B733" s="44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T733" s="52"/>
      <c r="U733" s="52"/>
      <c r="V733" s="52"/>
    </row>
    <row r="734">
      <c r="B734" s="44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T734" s="52"/>
      <c r="U734" s="52"/>
      <c r="V734" s="52"/>
    </row>
    <row r="735">
      <c r="B735" s="44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T735" s="52"/>
      <c r="U735" s="52"/>
      <c r="V735" s="52"/>
    </row>
    <row r="736">
      <c r="B736" s="44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T736" s="52"/>
      <c r="U736" s="52"/>
      <c r="V736" s="52"/>
    </row>
    <row r="737">
      <c r="B737" s="44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T737" s="52"/>
      <c r="U737" s="52"/>
      <c r="V737" s="52"/>
    </row>
    <row r="738">
      <c r="B738" s="44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T738" s="52"/>
      <c r="U738" s="52"/>
      <c r="V738" s="52"/>
    </row>
    <row r="739">
      <c r="B739" s="44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T739" s="52"/>
      <c r="U739" s="52"/>
      <c r="V739" s="52"/>
    </row>
    <row r="740">
      <c r="B740" s="44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T740" s="52"/>
      <c r="U740" s="52"/>
      <c r="V740" s="52"/>
    </row>
    <row r="741">
      <c r="B741" s="44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T741" s="52"/>
      <c r="U741" s="52"/>
      <c r="V741" s="52"/>
    </row>
    <row r="742">
      <c r="B742" s="44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T742" s="52"/>
      <c r="U742" s="52"/>
      <c r="V742" s="52"/>
    </row>
    <row r="743">
      <c r="B743" s="44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T743" s="52"/>
      <c r="U743" s="52"/>
      <c r="V743" s="52"/>
    </row>
    <row r="744">
      <c r="B744" s="44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T744" s="52"/>
      <c r="U744" s="52"/>
      <c r="V744" s="52"/>
    </row>
    <row r="745">
      <c r="B745" s="44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T745" s="52"/>
      <c r="U745" s="52"/>
      <c r="V745" s="52"/>
    </row>
    <row r="746">
      <c r="B746" s="44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T746" s="52"/>
      <c r="U746" s="52"/>
      <c r="V746" s="52"/>
    </row>
    <row r="747">
      <c r="B747" s="44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T747" s="52"/>
      <c r="U747" s="52"/>
      <c r="V747" s="52"/>
    </row>
    <row r="748">
      <c r="B748" s="44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T748" s="52"/>
      <c r="U748" s="52"/>
      <c r="V748" s="52"/>
    </row>
    <row r="749">
      <c r="B749" s="44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T749" s="52"/>
      <c r="U749" s="52"/>
      <c r="V749" s="52"/>
    </row>
    <row r="750">
      <c r="B750" s="44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T750" s="52"/>
      <c r="U750" s="52"/>
      <c r="V750" s="52"/>
    </row>
    <row r="751">
      <c r="B751" s="44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T751" s="52"/>
      <c r="U751" s="52"/>
      <c r="V751" s="52"/>
    </row>
    <row r="752">
      <c r="B752" s="44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T752" s="52"/>
      <c r="U752" s="52"/>
      <c r="V752" s="52"/>
    </row>
    <row r="753">
      <c r="B753" s="44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T753" s="52"/>
      <c r="U753" s="52"/>
      <c r="V753" s="52"/>
    </row>
    <row r="754">
      <c r="B754" s="44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T754" s="52"/>
      <c r="U754" s="52"/>
      <c r="V754" s="52"/>
    </row>
    <row r="755">
      <c r="B755" s="44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T755" s="52"/>
      <c r="U755" s="52"/>
      <c r="V755" s="52"/>
    </row>
    <row r="756">
      <c r="B756" s="44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T756" s="52"/>
      <c r="U756" s="52"/>
      <c r="V756" s="52"/>
    </row>
    <row r="757">
      <c r="B757" s="44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T757" s="52"/>
      <c r="U757" s="52"/>
      <c r="V757" s="52"/>
    </row>
    <row r="758">
      <c r="B758" s="44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T758" s="52"/>
      <c r="U758" s="52"/>
      <c r="V758" s="52"/>
    </row>
    <row r="759">
      <c r="B759" s="44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T759" s="52"/>
      <c r="U759" s="52"/>
      <c r="V759" s="52"/>
    </row>
    <row r="760">
      <c r="B760" s="44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T760" s="52"/>
      <c r="U760" s="52"/>
      <c r="V760" s="52"/>
    </row>
    <row r="761">
      <c r="B761" s="44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T761" s="52"/>
      <c r="U761" s="52"/>
      <c r="V761" s="52"/>
    </row>
    <row r="762">
      <c r="B762" s="44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T762" s="52"/>
      <c r="U762" s="52"/>
      <c r="V762" s="52"/>
    </row>
    <row r="763">
      <c r="B763" s="44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T763" s="52"/>
      <c r="U763" s="52"/>
      <c r="V763" s="52"/>
    </row>
    <row r="764">
      <c r="B764" s="44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T764" s="52"/>
      <c r="U764" s="52"/>
      <c r="V764" s="52"/>
    </row>
    <row r="765">
      <c r="B765" s="44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T765" s="52"/>
      <c r="U765" s="52"/>
      <c r="V765" s="52"/>
    </row>
    <row r="766">
      <c r="B766" s="44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T766" s="52"/>
      <c r="U766" s="52"/>
      <c r="V766" s="52"/>
    </row>
    <row r="767">
      <c r="B767" s="44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T767" s="52"/>
      <c r="U767" s="52"/>
      <c r="V767" s="52"/>
    </row>
    <row r="768">
      <c r="B768" s="44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T768" s="52"/>
      <c r="U768" s="52"/>
      <c r="V768" s="52"/>
    </row>
    <row r="769">
      <c r="B769" s="44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T769" s="52"/>
      <c r="U769" s="52"/>
      <c r="V769" s="52"/>
    </row>
    <row r="770">
      <c r="B770" s="44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T770" s="52"/>
      <c r="U770" s="52"/>
      <c r="V770" s="52"/>
    </row>
    <row r="771">
      <c r="B771" s="44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T771" s="52"/>
      <c r="U771" s="52"/>
      <c r="V771" s="52"/>
    </row>
    <row r="772">
      <c r="B772" s="44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T772" s="52"/>
      <c r="U772" s="52"/>
      <c r="V772" s="52"/>
    </row>
    <row r="773">
      <c r="B773" s="44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T773" s="52"/>
      <c r="U773" s="52"/>
      <c r="V773" s="52"/>
    </row>
    <row r="774">
      <c r="B774" s="44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T774" s="52"/>
      <c r="U774" s="52"/>
      <c r="V774" s="52"/>
    </row>
    <row r="775">
      <c r="B775" s="44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T775" s="52"/>
      <c r="U775" s="52"/>
      <c r="V775" s="52"/>
    </row>
    <row r="776">
      <c r="B776" s="44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T776" s="52"/>
      <c r="U776" s="52"/>
      <c r="V776" s="52"/>
    </row>
    <row r="777">
      <c r="B777" s="44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T777" s="52"/>
      <c r="U777" s="52"/>
      <c r="V777" s="52"/>
    </row>
    <row r="778">
      <c r="B778" s="44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T778" s="52"/>
      <c r="U778" s="52"/>
      <c r="V778" s="52"/>
    </row>
    <row r="779">
      <c r="B779" s="44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T779" s="52"/>
      <c r="U779" s="52"/>
      <c r="V779" s="52"/>
    </row>
    <row r="780">
      <c r="B780" s="44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T780" s="52"/>
      <c r="U780" s="52"/>
      <c r="V780" s="52"/>
    </row>
    <row r="781">
      <c r="B781" s="44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T781" s="52"/>
      <c r="U781" s="52"/>
      <c r="V781" s="52"/>
    </row>
    <row r="782">
      <c r="B782" s="44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T782" s="52"/>
      <c r="U782" s="52"/>
      <c r="V782" s="52"/>
    </row>
    <row r="783">
      <c r="B783" s="44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T783" s="52"/>
      <c r="U783" s="52"/>
      <c r="V783" s="52"/>
    </row>
    <row r="784">
      <c r="B784" s="44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T784" s="52"/>
      <c r="U784" s="52"/>
      <c r="V784" s="52"/>
    </row>
    <row r="785">
      <c r="B785" s="44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T785" s="52"/>
      <c r="U785" s="52"/>
      <c r="V785" s="52"/>
    </row>
    <row r="786">
      <c r="B786" s="44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T786" s="52"/>
      <c r="U786" s="52"/>
      <c r="V786" s="52"/>
    </row>
    <row r="787">
      <c r="B787" s="44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T787" s="52"/>
      <c r="U787" s="52"/>
      <c r="V787" s="52"/>
    </row>
    <row r="788">
      <c r="B788" s="44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T788" s="52"/>
      <c r="U788" s="52"/>
      <c r="V788" s="52"/>
    </row>
    <row r="789">
      <c r="B789" s="44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T789" s="52"/>
      <c r="U789" s="52"/>
      <c r="V789" s="52"/>
    </row>
    <row r="790">
      <c r="B790" s="44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T790" s="52"/>
      <c r="U790" s="52"/>
      <c r="V790" s="52"/>
    </row>
    <row r="791">
      <c r="B791" s="44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T791" s="52"/>
      <c r="U791" s="52"/>
      <c r="V791" s="52"/>
    </row>
    <row r="792">
      <c r="B792" s="44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T792" s="52"/>
      <c r="U792" s="52"/>
      <c r="V792" s="52"/>
    </row>
    <row r="793">
      <c r="B793" s="44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T793" s="52"/>
      <c r="U793" s="52"/>
      <c r="V793" s="52"/>
    </row>
    <row r="794">
      <c r="B794" s="44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T794" s="52"/>
      <c r="U794" s="52"/>
      <c r="V794" s="52"/>
    </row>
    <row r="795">
      <c r="B795" s="44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T795" s="52"/>
      <c r="U795" s="52"/>
      <c r="V795" s="52"/>
    </row>
    <row r="796">
      <c r="B796" s="44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T796" s="52"/>
      <c r="U796" s="52"/>
      <c r="V796" s="52"/>
    </row>
    <row r="797">
      <c r="B797" s="44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T797" s="52"/>
      <c r="U797" s="52"/>
      <c r="V797" s="52"/>
    </row>
    <row r="798">
      <c r="B798" s="44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T798" s="52"/>
      <c r="U798" s="52"/>
      <c r="V798" s="52"/>
    </row>
    <row r="799">
      <c r="B799" s="44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T799" s="52"/>
      <c r="U799" s="52"/>
      <c r="V799" s="52"/>
    </row>
    <row r="800">
      <c r="B800" s="44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T800" s="52"/>
      <c r="U800" s="52"/>
      <c r="V800" s="52"/>
    </row>
    <row r="801">
      <c r="B801" s="44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T801" s="52"/>
      <c r="U801" s="52"/>
      <c r="V801" s="52"/>
    </row>
    <row r="802">
      <c r="B802" s="44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T802" s="52"/>
      <c r="U802" s="52"/>
      <c r="V802" s="52"/>
    </row>
    <row r="803">
      <c r="B803" s="44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T803" s="52"/>
      <c r="U803" s="52"/>
      <c r="V803" s="52"/>
    </row>
    <row r="804">
      <c r="B804" s="44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T804" s="52"/>
      <c r="U804" s="52"/>
      <c r="V804" s="52"/>
    </row>
    <row r="805">
      <c r="B805" s="44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T805" s="52"/>
      <c r="U805" s="52"/>
      <c r="V805" s="52"/>
    </row>
    <row r="806">
      <c r="B806" s="44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T806" s="52"/>
      <c r="U806" s="52"/>
      <c r="V806" s="52"/>
    </row>
    <row r="807">
      <c r="B807" s="44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T807" s="52"/>
      <c r="U807" s="52"/>
      <c r="V807" s="52"/>
    </row>
    <row r="808">
      <c r="B808" s="44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T808" s="52"/>
      <c r="U808" s="52"/>
      <c r="V808" s="52"/>
    </row>
    <row r="809">
      <c r="B809" s="44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T809" s="52"/>
      <c r="U809" s="52"/>
      <c r="V809" s="52"/>
    </row>
    <row r="810">
      <c r="B810" s="44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T810" s="52"/>
      <c r="U810" s="52"/>
      <c r="V810" s="52"/>
    </row>
    <row r="811">
      <c r="B811" s="44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T811" s="52"/>
      <c r="U811" s="52"/>
      <c r="V811" s="52"/>
    </row>
    <row r="812">
      <c r="B812" s="44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T812" s="52"/>
      <c r="U812" s="52"/>
      <c r="V812" s="52"/>
    </row>
    <row r="813">
      <c r="B813" s="44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T813" s="52"/>
      <c r="U813" s="52"/>
      <c r="V813" s="52"/>
    </row>
    <row r="814">
      <c r="B814" s="44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T814" s="52"/>
      <c r="U814" s="52"/>
      <c r="V814" s="52"/>
    </row>
    <row r="815">
      <c r="B815" s="44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T815" s="52"/>
      <c r="U815" s="52"/>
      <c r="V815" s="52"/>
    </row>
    <row r="816">
      <c r="B816" s="44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T816" s="52"/>
      <c r="U816" s="52"/>
      <c r="V816" s="52"/>
    </row>
    <row r="817">
      <c r="B817" s="44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T817" s="52"/>
      <c r="U817" s="52"/>
      <c r="V817" s="52"/>
    </row>
    <row r="818">
      <c r="B818" s="44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T818" s="52"/>
      <c r="U818" s="52"/>
      <c r="V818" s="52"/>
    </row>
    <row r="819">
      <c r="B819" s="44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T819" s="52"/>
      <c r="U819" s="52"/>
      <c r="V819" s="52"/>
    </row>
    <row r="820">
      <c r="B820" s="44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T820" s="52"/>
      <c r="U820" s="52"/>
      <c r="V820" s="52"/>
    </row>
    <row r="821">
      <c r="B821" s="44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T821" s="52"/>
      <c r="U821" s="52"/>
      <c r="V821" s="52"/>
    </row>
    <row r="822">
      <c r="B822" s="44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T822" s="52"/>
      <c r="U822" s="52"/>
      <c r="V822" s="52"/>
    </row>
    <row r="823">
      <c r="B823" s="44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T823" s="52"/>
      <c r="U823" s="52"/>
      <c r="V823" s="52"/>
    </row>
    <row r="824">
      <c r="B824" s="44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T824" s="52"/>
      <c r="U824" s="52"/>
      <c r="V824" s="52"/>
    </row>
    <row r="825">
      <c r="B825" s="44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T825" s="52"/>
      <c r="U825" s="52"/>
      <c r="V825" s="52"/>
    </row>
    <row r="826">
      <c r="B826" s="44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T826" s="52"/>
      <c r="U826" s="52"/>
      <c r="V826" s="52"/>
    </row>
    <row r="827">
      <c r="B827" s="44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T827" s="52"/>
      <c r="U827" s="52"/>
      <c r="V827" s="52"/>
    </row>
    <row r="828">
      <c r="B828" s="44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T828" s="52"/>
      <c r="U828" s="52"/>
      <c r="V828" s="52"/>
    </row>
    <row r="829">
      <c r="B829" s="44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T829" s="52"/>
      <c r="U829" s="52"/>
      <c r="V829" s="52"/>
    </row>
    <row r="830">
      <c r="B830" s="44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T830" s="52"/>
      <c r="U830" s="52"/>
      <c r="V830" s="52"/>
    </row>
    <row r="831">
      <c r="B831" s="44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T831" s="52"/>
      <c r="U831" s="52"/>
      <c r="V831" s="52"/>
    </row>
    <row r="832">
      <c r="B832" s="44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T832" s="52"/>
      <c r="U832" s="52"/>
      <c r="V832" s="52"/>
    </row>
    <row r="833">
      <c r="B833" s="44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T833" s="52"/>
      <c r="U833" s="52"/>
      <c r="V833" s="52"/>
    </row>
    <row r="834">
      <c r="B834" s="44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T834" s="52"/>
      <c r="U834" s="52"/>
      <c r="V834" s="52"/>
    </row>
    <row r="835">
      <c r="B835" s="44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T835" s="52"/>
      <c r="U835" s="52"/>
      <c r="V835" s="52"/>
    </row>
    <row r="836">
      <c r="B836" s="44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T836" s="52"/>
      <c r="U836" s="52"/>
      <c r="V836" s="52"/>
    </row>
    <row r="837">
      <c r="B837" s="44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T837" s="52"/>
      <c r="U837" s="52"/>
      <c r="V837" s="52"/>
    </row>
    <row r="838">
      <c r="B838" s="44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T838" s="52"/>
      <c r="U838" s="52"/>
      <c r="V838" s="52"/>
    </row>
    <row r="839">
      <c r="B839" s="44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T839" s="52"/>
      <c r="U839" s="52"/>
      <c r="V839" s="52"/>
    </row>
    <row r="840">
      <c r="B840" s="44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T840" s="52"/>
      <c r="U840" s="52"/>
      <c r="V840" s="52"/>
    </row>
    <row r="841">
      <c r="B841" s="44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T841" s="52"/>
      <c r="U841" s="52"/>
      <c r="V841" s="52"/>
    </row>
    <row r="842">
      <c r="B842" s="44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T842" s="52"/>
      <c r="U842" s="52"/>
      <c r="V842" s="52"/>
    </row>
    <row r="843">
      <c r="B843" s="44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T843" s="52"/>
      <c r="U843" s="52"/>
      <c r="V843" s="52"/>
    </row>
    <row r="844">
      <c r="B844" s="44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T844" s="52"/>
      <c r="U844" s="52"/>
      <c r="V844" s="52"/>
    </row>
    <row r="845">
      <c r="B845" s="44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T845" s="52"/>
      <c r="U845" s="52"/>
      <c r="V845" s="52"/>
    </row>
    <row r="846">
      <c r="B846" s="44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T846" s="52"/>
      <c r="U846" s="52"/>
      <c r="V846" s="52"/>
    </row>
    <row r="847">
      <c r="B847" s="44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T847" s="52"/>
      <c r="U847" s="52"/>
      <c r="V847" s="52"/>
    </row>
    <row r="848">
      <c r="B848" s="44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T848" s="52"/>
      <c r="U848" s="52"/>
      <c r="V848" s="52"/>
    </row>
    <row r="849">
      <c r="B849" s="44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T849" s="52"/>
      <c r="U849" s="52"/>
      <c r="V849" s="52"/>
    </row>
    <row r="850">
      <c r="B850" s="44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T850" s="52"/>
      <c r="U850" s="52"/>
      <c r="V850" s="52"/>
    </row>
    <row r="851">
      <c r="B851" s="44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T851" s="52"/>
      <c r="U851" s="52"/>
      <c r="V851" s="52"/>
    </row>
    <row r="852">
      <c r="B852" s="44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T852" s="52"/>
      <c r="U852" s="52"/>
      <c r="V852" s="52"/>
    </row>
    <row r="853">
      <c r="B853" s="44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T853" s="52"/>
      <c r="U853" s="52"/>
      <c r="V853" s="52"/>
    </row>
    <row r="854">
      <c r="B854" s="44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T854" s="52"/>
      <c r="U854" s="52"/>
      <c r="V854" s="52"/>
    </row>
    <row r="855">
      <c r="B855" s="44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T855" s="52"/>
      <c r="U855" s="52"/>
      <c r="V855" s="52"/>
    </row>
    <row r="856">
      <c r="B856" s="44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T856" s="52"/>
      <c r="U856" s="52"/>
      <c r="V856" s="52"/>
    </row>
    <row r="857">
      <c r="B857" s="44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T857" s="52"/>
      <c r="U857" s="52"/>
      <c r="V857" s="52"/>
    </row>
    <row r="858">
      <c r="B858" s="44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T858" s="52"/>
      <c r="U858" s="52"/>
      <c r="V858" s="52"/>
    </row>
    <row r="859">
      <c r="B859" s="44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T859" s="52"/>
      <c r="U859" s="52"/>
      <c r="V859" s="52"/>
    </row>
    <row r="860">
      <c r="B860" s="44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T860" s="52"/>
      <c r="U860" s="52"/>
      <c r="V860" s="52"/>
    </row>
    <row r="861">
      <c r="B861" s="44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T861" s="52"/>
      <c r="U861" s="52"/>
      <c r="V861" s="52"/>
    </row>
    <row r="862">
      <c r="B862" s="44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T862" s="52"/>
      <c r="U862" s="52"/>
      <c r="V862" s="52"/>
    </row>
    <row r="863">
      <c r="B863" s="44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T863" s="52"/>
      <c r="U863" s="52"/>
      <c r="V863" s="52"/>
    </row>
    <row r="864">
      <c r="B864" s="44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T864" s="52"/>
      <c r="U864" s="52"/>
      <c r="V864" s="52"/>
    </row>
    <row r="865">
      <c r="B865" s="44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T865" s="52"/>
      <c r="U865" s="52"/>
      <c r="V865" s="52"/>
    </row>
    <row r="866">
      <c r="B866" s="44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T866" s="52"/>
      <c r="U866" s="52"/>
      <c r="V866" s="52"/>
    </row>
    <row r="867">
      <c r="B867" s="44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T867" s="52"/>
      <c r="U867" s="52"/>
      <c r="V867" s="52"/>
    </row>
    <row r="868">
      <c r="B868" s="44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T868" s="52"/>
      <c r="U868" s="52"/>
      <c r="V868" s="52"/>
    </row>
    <row r="869">
      <c r="B869" s="44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T869" s="52"/>
      <c r="U869" s="52"/>
      <c r="V869" s="52"/>
    </row>
    <row r="870">
      <c r="B870" s="44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T870" s="52"/>
      <c r="U870" s="52"/>
      <c r="V870" s="52"/>
    </row>
    <row r="871">
      <c r="B871" s="44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T871" s="52"/>
      <c r="U871" s="52"/>
      <c r="V871" s="52"/>
    </row>
    <row r="872">
      <c r="B872" s="44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T872" s="52"/>
      <c r="U872" s="52"/>
      <c r="V872" s="52"/>
    </row>
    <row r="873">
      <c r="B873" s="44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T873" s="52"/>
      <c r="U873" s="52"/>
      <c r="V873" s="52"/>
    </row>
    <row r="874">
      <c r="B874" s="44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T874" s="52"/>
      <c r="U874" s="52"/>
      <c r="V874" s="52"/>
    </row>
    <row r="875">
      <c r="B875" s="44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T875" s="52"/>
      <c r="U875" s="52"/>
      <c r="V875" s="52"/>
    </row>
    <row r="876">
      <c r="B876" s="44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T876" s="52"/>
      <c r="U876" s="52"/>
      <c r="V876" s="52"/>
    </row>
    <row r="877">
      <c r="B877" s="44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T877" s="52"/>
      <c r="U877" s="52"/>
      <c r="V877" s="52"/>
    </row>
    <row r="878">
      <c r="B878" s="44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T878" s="52"/>
      <c r="U878" s="52"/>
      <c r="V878" s="52"/>
    </row>
    <row r="879">
      <c r="B879" s="44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T879" s="52"/>
      <c r="U879" s="52"/>
      <c r="V879" s="52"/>
    </row>
    <row r="880">
      <c r="B880" s="44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T880" s="52"/>
      <c r="U880" s="52"/>
      <c r="V880" s="52"/>
    </row>
    <row r="881">
      <c r="B881" s="44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T881" s="52"/>
      <c r="U881" s="52"/>
      <c r="V881" s="52"/>
    </row>
    <row r="882">
      <c r="B882" s="44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T882" s="52"/>
      <c r="U882" s="52"/>
      <c r="V882" s="52"/>
    </row>
    <row r="883">
      <c r="B883" s="44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T883" s="52"/>
      <c r="U883" s="52"/>
      <c r="V883" s="52"/>
    </row>
    <row r="884">
      <c r="B884" s="44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T884" s="52"/>
      <c r="U884" s="52"/>
      <c r="V884" s="52"/>
    </row>
    <row r="885">
      <c r="B885" s="44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T885" s="52"/>
      <c r="U885" s="52"/>
      <c r="V885" s="52"/>
    </row>
    <row r="886">
      <c r="B886" s="44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T886" s="52"/>
      <c r="U886" s="52"/>
      <c r="V886" s="52"/>
    </row>
    <row r="887">
      <c r="B887" s="44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T887" s="52"/>
      <c r="U887" s="52"/>
      <c r="V887" s="52"/>
    </row>
    <row r="888">
      <c r="B888" s="44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T888" s="52"/>
      <c r="U888" s="52"/>
      <c r="V888" s="52"/>
    </row>
    <row r="889">
      <c r="B889" s="44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T889" s="52"/>
      <c r="U889" s="52"/>
      <c r="V889" s="52"/>
    </row>
    <row r="890">
      <c r="B890" s="44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T890" s="52"/>
      <c r="U890" s="52"/>
      <c r="V890" s="52"/>
    </row>
    <row r="891">
      <c r="B891" s="44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T891" s="52"/>
      <c r="U891" s="52"/>
      <c r="V891" s="52"/>
    </row>
    <row r="892">
      <c r="B892" s="44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T892" s="52"/>
      <c r="U892" s="52"/>
      <c r="V892" s="52"/>
    </row>
    <row r="893">
      <c r="B893" s="44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T893" s="52"/>
      <c r="U893" s="52"/>
      <c r="V893" s="52"/>
    </row>
    <row r="894">
      <c r="B894" s="44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T894" s="52"/>
      <c r="U894" s="52"/>
      <c r="V894" s="52"/>
    </row>
    <row r="895">
      <c r="B895" s="44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T895" s="52"/>
      <c r="U895" s="52"/>
      <c r="V895" s="52"/>
    </row>
    <row r="896">
      <c r="B896" s="44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T896" s="52"/>
      <c r="U896" s="52"/>
      <c r="V896" s="52"/>
    </row>
    <row r="897">
      <c r="B897" s="44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T897" s="52"/>
      <c r="U897" s="52"/>
      <c r="V897" s="52"/>
    </row>
    <row r="898">
      <c r="B898" s="44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T898" s="52"/>
      <c r="U898" s="52"/>
      <c r="V898" s="52"/>
    </row>
    <row r="899">
      <c r="B899" s="44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T899" s="52"/>
      <c r="U899" s="52"/>
      <c r="V899" s="52"/>
    </row>
    <row r="900">
      <c r="B900" s="44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T900" s="52"/>
      <c r="U900" s="52"/>
      <c r="V900" s="52"/>
    </row>
    <row r="901">
      <c r="B901" s="44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T901" s="52"/>
      <c r="U901" s="52"/>
      <c r="V901" s="52"/>
    </row>
    <row r="902">
      <c r="B902" s="44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T902" s="52"/>
      <c r="U902" s="52"/>
      <c r="V902" s="52"/>
    </row>
    <row r="903">
      <c r="B903" s="44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T903" s="52"/>
      <c r="U903" s="52"/>
      <c r="V903" s="52"/>
    </row>
    <row r="904">
      <c r="B904" s="44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T904" s="52"/>
      <c r="U904" s="52"/>
      <c r="V904" s="52"/>
    </row>
    <row r="905">
      <c r="B905" s="44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T905" s="52"/>
      <c r="U905" s="52"/>
      <c r="V905" s="52"/>
    </row>
    <row r="906">
      <c r="B906" s="44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T906" s="52"/>
      <c r="U906" s="52"/>
      <c r="V906" s="52"/>
    </row>
    <row r="907">
      <c r="B907" s="44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T907" s="52"/>
      <c r="U907" s="52"/>
      <c r="V907" s="52"/>
    </row>
    <row r="908">
      <c r="B908" s="44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T908" s="52"/>
      <c r="U908" s="52"/>
      <c r="V908" s="52"/>
    </row>
    <row r="909">
      <c r="B909" s="44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T909" s="52"/>
      <c r="U909" s="52"/>
      <c r="V909" s="52"/>
    </row>
    <row r="910">
      <c r="B910" s="44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T910" s="52"/>
      <c r="U910" s="52"/>
      <c r="V910" s="52"/>
    </row>
    <row r="911">
      <c r="B911" s="44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T911" s="52"/>
      <c r="U911" s="52"/>
      <c r="V911" s="52"/>
    </row>
    <row r="912">
      <c r="B912" s="44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T912" s="52"/>
      <c r="U912" s="52"/>
      <c r="V912" s="52"/>
    </row>
    <row r="913">
      <c r="B913" s="44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T913" s="52"/>
      <c r="U913" s="52"/>
      <c r="V913" s="52"/>
    </row>
    <row r="914">
      <c r="B914" s="44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T914" s="52"/>
      <c r="U914" s="52"/>
      <c r="V914" s="52"/>
    </row>
    <row r="915">
      <c r="B915" s="44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T915" s="52"/>
      <c r="U915" s="52"/>
      <c r="V915" s="52"/>
    </row>
    <row r="916">
      <c r="B916" s="44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T916" s="52"/>
      <c r="U916" s="52"/>
      <c r="V916" s="52"/>
    </row>
    <row r="917">
      <c r="B917" s="44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T917" s="52"/>
      <c r="U917" s="52"/>
      <c r="V917" s="52"/>
    </row>
    <row r="918">
      <c r="B918" s="44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T918" s="52"/>
      <c r="U918" s="52"/>
      <c r="V918" s="52"/>
    </row>
    <row r="919">
      <c r="B919" s="44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T919" s="52"/>
      <c r="U919" s="52"/>
      <c r="V919" s="52"/>
    </row>
    <row r="920">
      <c r="B920" s="44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T920" s="52"/>
      <c r="U920" s="52"/>
      <c r="V920" s="52"/>
    </row>
    <row r="921">
      <c r="B921" s="44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T921" s="52"/>
      <c r="U921" s="52"/>
      <c r="V921" s="52"/>
    </row>
    <row r="922">
      <c r="B922" s="44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T922" s="52"/>
      <c r="U922" s="52"/>
      <c r="V922" s="52"/>
    </row>
    <row r="923">
      <c r="B923" s="44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T923" s="52"/>
      <c r="U923" s="52"/>
      <c r="V923" s="52"/>
    </row>
    <row r="924">
      <c r="B924" s="44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T924" s="52"/>
      <c r="U924" s="52"/>
      <c r="V924" s="52"/>
    </row>
    <row r="925">
      <c r="B925" s="44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T925" s="52"/>
      <c r="U925" s="52"/>
      <c r="V925" s="52"/>
    </row>
    <row r="926">
      <c r="B926" s="44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T926" s="52"/>
      <c r="U926" s="52"/>
      <c r="V926" s="52"/>
    </row>
    <row r="927">
      <c r="B927" s="44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T927" s="52"/>
      <c r="U927" s="52"/>
      <c r="V927" s="52"/>
    </row>
    <row r="928">
      <c r="B928" s="44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T928" s="52"/>
      <c r="U928" s="52"/>
      <c r="V928" s="52"/>
    </row>
    <row r="929">
      <c r="B929" s="44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T929" s="52"/>
      <c r="U929" s="52"/>
      <c r="V929" s="52"/>
    </row>
    <row r="930">
      <c r="B930" s="44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T930" s="52"/>
      <c r="U930" s="52"/>
      <c r="V930" s="52"/>
    </row>
    <row r="931">
      <c r="B931" s="44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T931" s="52"/>
      <c r="U931" s="52"/>
      <c r="V931" s="52"/>
    </row>
    <row r="932">
      <c r="B932" s="44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T932" s="52"/>
      <c r="U932" s="52"/>
      <c r="V932" s="52"/>
    </row>
    <row r="933">
      <c r="B933" s="44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T933" s="52"/>
      <c r="U933" s="52"/>
      <c r="V933" s="52"/>
    </row>
    <row r="934">
      <c r="B934" s="44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T934" s="52"/>
      <c r="U934" s="52"/>
      <c r="V934" s="52"/>
    </row>
    <row r="935">
      <c r="B935" s="44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T935" s="52"/>
      <c r="U935" s="52"/>
      <c r="V935" s="52"/>
    </row>
    <row r="936">
      <c r="B936" s="44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T936" s="52"/>
      <c r="U936" s="52"/>
      <c r="V936" s="52"/>
    </row>
    <row r="937">
      <c r="B937" s="44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T937" s="52"/>
      <c r="U937" s="52"/>
      <c r="V937" s="52"/>
    </row>
    <row r="938">
      <c r="B938" s="44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T938" s="52"/>
      <c r="U938" s="52"/>
      <c r="V938" s="52"/>
    </row>
    <row r="939">
      <c r="B939" s="44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T939" s="52"/>
      <c r="U939" s="52"/>
      <c r="V939" s="52"/>
    </row>
    <row r="940">
      <c r="B940" s="44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T940" s="52"/>
      <c r="U940" s="52"/>
      <c r="V940" s="52"/>
    </row>
    <row r="941">
      <c r="B941" s="44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T941" s="52"/>
      <c r="U941" s="52"/>
      <c r="V941" s="52"/>
    </row>
    <row r="942">
      <c r="B942" s="44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T942" s="52"/>
      <c r="U942" s="52"/>
      <c r="V942" s="52"/>
    </row>
    <row r="943">
      <c r="B943" s="44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T943" s="52"/>
      <c r="U943" s="52"/>
      <c r="V943" s="52"/>
    </row>
    <row r="944">
      <c r="B944" s="44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T944" s="52"/>
      <c r="U944" s="52"/>
      <c r="V944" s="52"/>
    </row>
    <row r="945">
      <c r="B945" s="44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T945" s="52"/>
      <c r="U945" s="52"/>
      <c r="V945" s="52"/>
    </row>
    <row r="946">
      <c r="B946" s="44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T946" s="52"/>
      <c r="U946" s="52"/>
      <c r="V946" s="52"/>
    </row>
    <row r="947">
      <c r="B947" s="44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T947" s="52"/>
      <c r="U947" s="52"/>
      <c r="V947" s="52"/>
    </row>
    <row r="948">
      <c r="B948" s="44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T948" s="52"/>
      <c r="U948" s="52"/>
      <c r="V948" s="52"/>
    </row>
    <row r="949">
      <c r="B949" s="44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T949" s="52"/>
      <c r="U949" s="52"/>
      <c r="V949" s="52"/>
    </row>
    <row r="950">
      <c r="B950" s="44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T950" s="52"/>
      <c r="U950" s="52"/>
      <c r="V950" s="52"/>
    </row>
    <row r="951">
      <c r="B951" s="44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T951" s="52"/>
      <c r="U951" s="52"/>
      <c r="V951" s="52"/>
    </row>
    <row r="952">
      <c r="B952" s="44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T952" s="52"/>
      <c r="U952" s="52"/>
      <c r="V952" s="52"/>
    </row>
    <row r="953">
      <c r="B953" s="44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T953" s="52"/>
      <c r="U953" s="52"/>
      <c r="V953" s="52"/>
    </row>
    <row r="954">
      <c r="B954" s="44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T954" s="52"/>
      <c r="U954" s="52"/>
      <c r="V954" s="52"/>
    </row>
    <row r="955">
      <c r="B955" s="44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T955" s="52"/>
      <c r="U955" s="52"/>
      <c r="V955" s="52"/>
    </row>
    <row r="956">
      <c r="B956" s="44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T956" s="52"/>
      <c r="U956" s="52"/>
      <c r="V956" s="52"/>
    </row>
    <row r="957">
      <c r="B957" s="44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T957" s="52"/>
      <c r="U957" s="52"/>
      <c r="V957" s="52"/>
    </row>
    <row r="958">
      <c r="B958" s="44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T958" s="52"/>
      <c r="U958" s="52"/>
      <c r="V958" s="52"/>
    </row>
    <row r="959">
      <c r="B959" s="44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T959" s="52"/>
      <c r="U959" s="52"/>
      <c r="V959" s="52"/>
    </row>
    <row r="960">
      <c r="B960" s="44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T960" s="52"/>
      <c r="U960" s="52"/>
      <c r="V960" s="52"/>
    </row>
    <row r="961">
      <c r="B961" s="44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T961" s="52"/>
      <c r="U961" s="52"/>
      <c r="V961" s="52"/>
    </row>
    <row r="962">
      <c r="B962" s="44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T962" s="52"/>
      <c r="U962" s="52"/>
      <c r="V962" s="52"/>
    </row>
    <row r="963">
      <c r="B963" s="44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T963" s="52"/>
      <c r="U963" s="52"/>
      <c r="V963" s="52"/>
    </row>
    <row r="964">
      <c r="B964" s="44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T964" s="52"/>
      <c r="U964" s="52"/>
      <c r="V964" s="52"/>
    </row>
    <row r="965">
      <c r="B965" s="44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T965" s="52"/>
      <c r="U965" s="52"/>
      <c r="V965" s="52"/>
    </row>
    <row r="966">
      <c r="B966" s="44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T966" s="52"/>
      <c r="U966" s="52"/>
      <c r="V966" s="52"/>
    </row>
    <row r="967">
      <c r="B967" s="44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T967" s="52"/>
      <c r="U967" s="52"/>
      <c r="V967" s="52"/>
    </row>
    <row r="968">
      <c r="B968" s="44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T968" s="52"/>
      <c r="U968" s="52"/>
      <c r="V968" s="52"/>
    </row>
    <row r="969">
      <c r="B969" s="44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T969" s="52"/>
      <c r="U969" s="52"/>
      <c r="V969" s="52"/>
    </row>
    <row r="970">
      <c r="B970" s="44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T970" s="52"/>
      <c r="U970" s="52"/>
      <c r="V970" s="52"/>
    </row>
    <row r="971">
      <c r="B971" s="44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T971" s="52"/>
      <c r="U971" s="52"/>
      <c r="V971" s="52"/>
    </row>
    <row r="972">
      <c r="B972" s="44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T972" s="52"/>
      <c r="U972" s="52"/>
      <c r="V972" s="52"/>
    </row>
    <row r="973">
      <c r="B973" s="44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T973" s="52"/>
      <c r="U973" s="52"/>
      <c r="V973" s="52"/>
    </row>
    <row r="974">
      <c r="B974" s="44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T974" s="52"/>
      <c r="U974" s="52"/>
      <c r="V974" s="52"/>
    </row>
    <row r="975">
      <c r="B975" s="44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T975" s="52"/>
      <c r="U975" s="52"/>
      <c r="V975" s="52"/>
    </row>
    <row r="976">
      <c r="B976" s="44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T976" s="52"/>
      <c r="U976" s="52"/>
      <c r="V976" s="52"/>
    </row>
    <row r="977">
      <c r="B977" s="44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T977" s="52"/>
      <c r="U977" s="52"/>
      <c r="V977" s="52"/>
    </row>
    <row r="978">
      <c r="B978" s="44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T978" s="52"/>
      <c r="U978" s="52"/>
      <c r="V978" s="52"/>
    </row>
    <row r="979">
      <c r="B979" s="44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T979" s="52"/>
      <c r="U979" s="52"/>
      <c r="V979" s="52"/>
    </row>
    <row r="980">
      <c r="B980" s="44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T980" s="52"/>
      <c r="U980" s="52"/>
      <c r="V980" s="52"/>
    </row>
    <row r="981">
      <c r="B981" s="44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T981" s="52"/>
      <c r="U981" s="52"/>
      <c r="V981" s="52"/>
    </row>
    <row r="982">
      <c r="B982" s="44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T982" s="52"/>
      <c r="U982" s="52"/>
      <c r="V982" s="52"/>
    </row>
    <row r="983">
      <c r="B983" s="44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T983" s="52"/>
      <c r="U983" s="52"/>
      <c r="V983" s="52"/>
    </row>
    <row r="984">
      <c r="B984" s="44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T984" s="52"/>
      <c r="U984" s="52"/>
      <c r="V984" s="52"/>
    </row>
    <row r="985">
      <c r="B985" s="44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T985" s="52"/>
      <c r="U985" s="52"/>
      <c r="V985" s="52"/>
    </row>
    <row r="986">
      <c r="B986" s="44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T986" s="52"/>
      <c r="U986" s="52"/>
      <c r="V986" s="52"/>
    </row>
    <row r="987">
      <c r="B987" s="44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T987" s="52"/>
      <c r="U987" s="52"/>
      <c r="V987" s="52"/>
    </row>
    <row r="988">
      <c r="B988" s="44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T988" s="52"/>
      <c r="U988" s="52"/>
      <c r="V988" s="52"/>
    </row>
    <row r="989">
      <c r="B989" s="44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T989" s="52"/>
      <c r="U989" s="52"/>
      <c r="V989" s="52"/>
    </row>
    <row r="990">
      <c r="B990" s="44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T990" s="52"/>
      <c r="U990" s="52"/>
      <c r="V990" s="52"/>
    </row>
    <row r="991">
      <c r="B991" s="44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T991" s="52"/>
      <c r="U991" s="52"/>
      <c r="V991" s="52"/>
    </row>
    <row r="992">
      <c r="B992" s="44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T992" s="52"/>
      <c r="U992" s="52"/>
      <c r="V992" s="52"/>
    </row>
    <row r="993">
      <c r="B993" s="44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T993" s="52"/>
      <c r="U993" s="52"/>
      <c r="V993" s="52"/>
    </row>
    <row r="994">
      <c r="B994" s="44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T994" s="52"/>
      <c r="U994" s="52"/>
      <c r="V994" s="52"/>
    </row>
    <row r="995">
      <c r="B995" s="44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T995" s="52"/>
      <c r="U995" s="52"/>
      <c r="V995" s="52"/>
    </row>
    <row r="996">
      <c r="B996" s="44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T996" s="52"/>
      <c r="U996" s="52"/>
      <c r="V996" s="52"/>
    </row>
    <row r="997">
      <c r="B997" s="44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T997" s="52"/>
      <c r="U997" s="52"/>
      <c r="V997" s="52"/>
    </row>
    <row r="998">
      <c r="B998" s="44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T998" s="52"/>
      <c r="U998" s="52"/>
      <c r="V998" s="52"/>
    </row>
    <row r="999">
      <c r="B999" s="44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T999" s="52"/>
      <c r="U999" s="52"/>
      <c r="V999" s="52"/>
    </row>
    <row r="1000">
      <c r="B1000" s="44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T1000" s="52"/>
      <c r="U1000" s="52"/>
      <c r="V1000" s="52"/>
    </row>
    <row r="1001">
      <c r="B1001" s="44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T1001" s="52"/>
      <c r="U1001" s="52"/>
      <c r="V1001" s="52"/>
    </row>
    <row r="1002">
      <c r="B1002" s="44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T1002" s="52"/>
      <c r="U1002" s="52"/>
      <c r="V1002" s="52"/>
    </row>
    <row r="1003">
      <c r="B1003" s="44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T1003" s="52"/>
      <c r="U1003" s="52"/>
      <c r="V1003" s="52"/>
    </row>
    <row r="1004">
      <c r="B1004" s="44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T1004" s="52"/>
      <c r="U1004" s="52"/>
      <c r="V1004" s="52"/>
    </row>
    <row r="1005">
      <c r="B1005" s="44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T1005" s="52"/>
      <c r="U1005" s="52"/>
      <c r="V1005" s="52"/>
    </row>
    <row r="1006">
      <c r="B1006" s="44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T1006" s="52"/>
      <c r="U1006" s="52"/>
      <c r="V1006" s="52"/>
    </row>
    <row r="1007">
      <c r="B1007" s="44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T1007" s="52"/>
      <c r="U1007" s="52"/>
      <c r="V1007" s="52"/>
    </row>
    <row r="1008">
      <c r="B1008" s="44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T1008" s="52"/>
      <c r="U1008" s="52"/>
      <c r="V1008" s="52"/>
    </row>
    <row r="1009">
      <c r="B1009" s="44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T1009" s="52"/>
      <c r="U1009" s="52"/>
      <c r="V1009" s="52"/>
    </row>
    <row r="1010">
      <c r="B1010" s="44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T1010" s="52"/>
      <c r="U1010" s="52"/>
      <c r="V1010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23.63"/>
    <col customWidth="1" min="3" max="3" width="3.5"/>
    <col customWidth="1" min="4" max="4" width="18.88"/>
    <col customWidth="1" min="5" max="6" width="8.63"/>
    <col customWidth="1" min="7" max="7" width="9.38"/>
    <col customWidth="1" min="8" max="8" width="12.38"/>
    <col customWidth="1" min="9" max="9" width="12.0"/>
    <col customWidth="1" min="10" max="10" width="13.25"/>
    <col customWidth="1" min="11" max="11" width="8.63"/>
    <col customWidth="1" min="12" max="12" width="8.25"/>
    <col customWidth="1" min="13" max="13" width="9.38"/>
    <col customWidth="1" min="14" max="14" width="8.5"/>
    <col customWidth="1" min="15" max="15" width="10.75"/>
    <col customWidth="1" min="16" max="16" width="9.38"/>
    <col customWidth="1" min="17" max="17" width="15.13"/>
  </cols>
  <sheetData>
    <row r="1">
      <c r="B1" s="18" t="s">
        <v>1</v>
      </c>
      <c r="D1" s="20" t="s">
        <v>192</v>
      </c>
      <c r="E1" s="20" t="s">
        <v>3</v>
      </c>
      <c r="F1" s="20" t="s">
        <v>4</v>
      </c>
      <c r="G1" s="20" t="s">
        <v>5</v>
      </c>
      <c r="H1" s="20" t="s">
        <v>146</v>
      </c>
      <c r="I1" s="20" t="s">
        <v>147</v>
      </c>
      <c r="J1" s="20" t="s">
        <v>148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193</v>
      </c>
    </row>
    <row r="2">
      <c r="B2" s="22" t="s">
        <v>149</v>
      </c>
      <c r="D2" s="48">
        <v>1.0</v>
      </c>
      <c r="E2" s="27">
        <v>4100.0</v>
      </c>
      <c r="F2" s="27">
        <v>3400.0</v>
      </c>
      <c r="G2" s="27">
        <v>4000.0</v>
      </c>
      <c r="H2" s="28">
        <v>12500.0</v>
      </c>
      <c r="I2" s="27">
        <v>9200.0</v>
      </c>
      <c r="J2" s="27">
        <v>12000.0</v>
      </c>
      <c r="K2" s="27">
        <v>31000.0</v>
      </c>
      <c r="L2" s="27">
        <v>15500.0</v>
      </c>
      <c r="M2" s="27">
        <v>24000.0</v>
      </c>
      <c r="N2" s="27">
        <v>2200.0</v>
      </c>
      <c r="O2" s="48">
        <v>900.0</v>
      </c>
      <c r="P2" s="28">
        <v>1800.0</v>
      </c>
      <c r="Q2" s="17">
        <v>85.0</v>
      </c>
    </row>
    <row r="3">
      <c r="B3" s="22" t="s">
        <v>46</v>
      </c>
      <c r="D3" s="48">
        <v>1.0</v>
      </c>
      <c r="E3" s="48">
        <v>3950.0</v>
      </c>
      <c r="F3" s="48">
        <v>3300.0</v>
      </c>
      <c r="G3" s="48">
        <v>3600.0</v>
      </c>
      <c r="H3" s="48" t="s">
        <v>194</v>
      </c>
      <c r="I3" s="48" t="s">
        <v>194</v>
      </c>
      <c r="J3" s="48" t="s">
        <v>194</v>
      </c>
      <c r="K3" s="48">
        <v>27000.0</v>
      </c>
      <c r="L3" s="48">
        <v>12500.0</v>
      </c>
      <c r="M3" s="48">
        <v>25000.0</v>
      </c>
      <c r="N3" s="48">
        <v>2100.0</v>
      </c>
      <c r="O3" s="48">
        <v>775.0</v>
      </c>
      <c r="P3" s="17">
        <v>1900.0</v>
      </c>
    </row>
    <row r="4">
      <c r="B4" s="22" t="s">
        <v>189</v>
      </c>
      <c r="D4" s="48">
        <v>1.0</v>
      </c>
      <c r="E4" s="48">
        <v>4250.0</v>
      </c>
      <c r="F4" s="48">
        <v>3400.0</v>
      </c>
      <c r="G4" s="48">
        <v>4100.0</v>
      </c>
      <c r="H4" s="48" t="s">
        <v>194</v>
      </c>
      <c r="I4" s="48" t="s">
        <v>194</v>
      </c>
      <c r="J4" s="48" t="s">
        <v>194</v>
      </c>
      <c r="K4" s="48">
        <v>30000.0</v>
      </c>
      <c r="L4" s="48">
        <v>15000.0</v>
      </c>
      <c r="M4" s="48">
        <v>23500.0</v>
      </c>
      <c r="N4" s="48">
        <v>2500.0</v>
      </c>
      <c r="O4" s="48">
        <v>950.0</v>
      </c>
      <c r="P4" s="17">
        <v>2150.0</v>
      </c>
      <c r="Q4" s="17">
        <v>60.0</v>
      </c>
    </row>
    <row r="5">
      <c r="B5" s="22" t="s">
        <v>195</v>
      </c>
      <c r="D5" s="48">
        <v>1.0</v>
      </c>
      <c r="E5" s="48">
        <v>4200.0</v>
      </c>
      <c r="F5" s="48">
        <v>3500.0</v>
      </c>
      <c r="G5" s="48">
        <v>3950.0</v>
      </c>
      <c r="H5" s="48">
        <v>12400.0</v>
      </c>
      <c r="I5" s="48">
        <v>9400.0</v>
      </c>
      <c r="J5" s="48">
        <v>11100.0</v>
      </c>
      <c r="K5" s="48">
        <v>22500.0</v>
      </c>
      <c r="L5" s="48">
        <v>14000.0</v>
      </c>
      <c r="M5" s="48">
        <v>18400.0</v>
      </c>
      <c r="N5" s="48">
        <v>2150.0</v>
      </c>
      <c r="O5" s="48">
        <v>1000.0</v>
      </c>
      <c r="P5" s="17">
        <v>1550.0</v>
      </c>
      <c r="Q5" s="17">
        <v>95.0</v>
      </c>
    </row>
    <row r="6">
      <c r="B6" s="22" t="s">
        <v>152</v>
      </c>
      <c r="D6" s="48">
        <v>1.0</v>
      </c>
      <c r="E6" s="48">
        <v>4300.0</v>
      </c>
      <c r="F6" s="48">
        <v>3500.0</v>
      </c>
      <c r="G6" s="48" t="s">
        <v>194</v>
      </c>
      <c r="H6" s="48">
        <v>12800.0</v>
      </c>
      <c r="I6" s="48">
        <v>9700.0</v>
      </c>
      <c r="J6" s="48" t="s">
        <v>194</v>
      </c>
      <c r="K6" s="48">
        <v>24000.0</v>
      </c>
      <c r="L6" s="48">
        <v>13000.0</v>
      </c>
      <c r="M6" s="48" t="s">
        <v>194</v>
      </c>
      <c r="N6" s="58">
        <v>2400.0</v>
      </c>
      <c r="O6" s="48">
        <v>1000.0</v>
      </c>
      <c r="P6" s="17" t="s">
        <v>194</v>
      </c>
    </row>
    <row r="7">
      <c r="B7" s="17" t="s">
        <v>196</v>
      </c>
      <c r="D7" s="17">
        <v>1.0</v>
      </c>
      <c r="E7" s="17">
        <v>3878.46</v>
      </c>
      <c r="F7" s="17">
        <v>3000.0</v>
      </c>
      <c r="G7" s="17">
        <v>3400.0</v>
      </c>
      <c r="H7" s="17">
        <v>10613.06</v>
      </c>
      <c r="I7" s="17">
        <v>7500.0</v>
      </c>
      <c r="J7" s="17">
        <v>8750.0</v>
      </c>
      <c r="K7" s="17">
        <v>20000.0</v>
      </c>
      <c r="L7" s="17">
        <v>13500.0</v>
      </c>
      <c r="M7" s="17">
        <v>20000.0</v>
      </c>
      <c r="N7" s="17">
        <v>1750.0</v>
      </c>
      <c r="O7" s="17">
        <v>1000.0</v>
      </c>
      <c r="P7" s="17">
        <v>1750.0</v>
      </c>
      <c r="Q7" s="17">
        <v>40.0</v>
      </c>
    </row>
    <row r="8">
      <c r="B8" s="22" t="s">
        <v>197</v>
      </c>
      <c r="D8" s="48">
        <v>1.0</v>
      </c>
      <c r="E8" s="48">
        <v>4100.0</v>
      </c>
      <c r="F8" s="48">
        <v>3500.0</v>
      </c>
      <c r="G8" s="48">
        <v>3800.0</v>
      </c>
      <c r="H8" s="48">
        <v>12000.0</v>
      </c>
      <c r="I8" s="48">
        <v>9000.0</v>
      </c>
      <c r="J8" s="48">
        <v>9500.0</v>
      </c>
      <c r="K8" s="48">
        <v>20000.0</v>
      </c>
      <c r="L8" s="48">
        <v>14500.0</v>
      </c>
      <c r="M8" s="48">
        <v>17000.0</v>
      </c>
      <c r="N8" s="48">
        <v>1500.0</v>
      </c>
      <c r="O8" s="48">
        <v>900.0</v>
      </c>
      <c r="P8" s="17">
        <v>1300.0</v>
      </c>
      <c r="Q8" s="17">
        <v>65.0</v>
      </c>
    </row>
    <row r="9">
      <c r="B9" s="22" t="s">
        <v>198</v>
      </c>
      <c r="D9" s="48">
        <v>1.0</v>
      </c>
      <c r="E9" s="59">
        <v>3878.46</v>
      </c>
      <c r="F9" s="60">
        <v>3450.0</v>
      </c>
      <c r="G9" s="60">
        <v>3730.0</v>
      </c>
      <c r="H9" s="59">
        <v>10613.06</v>
      </c>
      <c r="I9" s="48">
        <v>7777.0</v>
      </c>
      <c r="J9" s="48">
        <v>9999.0</v>
      </c>
      <c r="K9" s="48">
        <v>18420.0</v>
      </c>
      <c r="L9" s="48">
        <v>14420.0</v>
      </c>
      <c r="M9" s="48">
        <v>18269.0</v>
      </c>
      <c r="N9" s="48">
        <v>2600.0</v>
      </c>
      <c r="O9" s="48">
        <v>990.0</v>
      </c>
      <c r="P9" s="17">
        <v>2420.0</v>
      </c>
      <c r="Q9" s="17">
        <v>36.0</v>
      </c>
    </row>
    <row r="10">
      <c r="B10" s="22" t="s">
        <v>166</v>
      </c>
      <c r="D10" s="48">
        <v>1.0</v>
      </c>
      <c r="E10" s="48">
        <v>4000.0</v>
      </c>
      <c r="F10" s="48">
        <v>3200.0</v>
      </c>
      <c r="G10" s="48">
        <v>4000.0</v>
      </c>
      <c r="H10" s="48">
        <v>12000.0</v>
      </c>
      <c r="I10" s="48">
        <v>7776.0</v>
      </c>
      <c r="J10" s="48">
        <v>12000.0</v>
      </c>
      <c r="K10" s="48">
        <v>30000.0</v>
      </c>
      <c r="L10" s="48">
        <v>15000.0</v>
      </c>
      <c r="M10" s="48">
        <v>25000.0</v>
      </c>
      <c r="N10" s="48">
        <v>3000.0</v>
      </c>
      <c r="O10" s="48">
        <v>1100.0</v>
      </c>
      <c r="P10" s="17">
        <v>2500.0</v>
      </c>
      <c r="Q10" s="17">
        <v>50.0</v>
      </c>
    </row>
    <row r="11">
      <c r="B11" s="22" t="s">
        <v>183</v>
      </c>
      <c r="D11" s="48">
        <v>0.0</v>
      </c>
      <c r="E11" s="48">
        <v>4300.0</v>
      </c>
      <c r="F11" s="48">
        <v>3600.0</v>
      </c>
      <c r="G11" s="48">
        <v>4200.0</v>
      </c>
      <c r="H11" s="48">
        <v>12000.0</v>
      </c>
      <c r="I11" s="58">
        <v>10000.0</v>
      </c>
      <c r="J11" s="48">
        <v>12000.0</v>
      </c>
      <c r="K11" s="48">
        <v>35000.0</v>
      </c>
      <c r="L11" s="58">
        <v>16000.0</v>
      </c>
      <c r="M11" s="58">
        <v>32000.0</v>
      </c>
      <c r="N11" s="48">
        <v>3000.0</v>
      </c>
      <c r="O11" s="58">
        <v>1150.0</v>
      </c>
      <c r="P11" s="17">
        <v>2800.0</v>
      </c>
      <c r="Q11" s="17">
        <v>70.0</v>
      </c>
      <c r="S11" s="61"/>
    </row>
    <row r="12">
      <c r="B12" s="22" t="s">
        <v>199</v>
      </c>
      <c r="D12" s="48">
        <v>1.0</v>
      </c>
      <c r="E12" s="48">
        <v>4350.0</v>
      </c>
      <c r="F12" s="48">
        <v>3100.0</v>
      </c>
      <c r="G12" s="48">
        <v>3650.0</v>
      </c>
      <c r="H12" s="48">
        <v>13000.0</v>
      </c>
      <c r="I12" s="48">
        <v>9400.0</v>
      </c>
      <c r="J12" s="48">
        <v>11500.0</v>
      </c>
      <c r="K12" s="48">
        <v>30000.0</v>
      </c>
      <c r="L12" s="48">
        <v>14000.0</v>
      </c>
      <c r="M12" s="48">
        <v>24000.0</v>
      </c>
      <c r="N12" s="48">
        <v>2800.0</v>
      </c>
      <c r="O12" s="48">
        <v>1075.0</v>
      </c>
      <c r="P12" s="17">
        <v>2200.0</v>
      </c>
      <c r="Q12" s="17">
        <v>60.0</v>
      </c>
    </row>
    <row r="13">
      <c r="B13" s="22" t="s">
        <v>37</v>
      </c>
      <c r="D13" s="48">
        <v>0.0</v>
      </c>
      <c r="E13" s="48">
        <v>4175.0</v>
      </c>
      <c r="F13" s="48">
        <v>3150.0</v>
      </c>
      <c r="G13" s="48">
        <v>3950.0</v>
      </c>
      <c r="H13" s="43"/>
      <c r="I13" s="43"/>
      <c r="J13" s="43"/>
      <c r="K13" s="43"/>
      <c r="L13" s="43"/>
      <c r="M13" s="43"/>
      <c r="N13" s="43"/>
      <c r="O13" s="43"/>
    </row>
    <row r="14">
      <c r="B14" s="22" t="s">
        <v>103</v>
      </c>
      <c r="D14" s="48">
        <v>0.0</v>
      </c>
      <c r="E14" s="48">
        <v>4375.0</v>
      </c>
      <c r="F14" s="48">
        <v>3333.0</v>
      </c>
      <c r="G14" s="48">
        <v>3995.0</v>
      </c>
      <c r="H14" s="58">
        <v>13100.0</v>
      </c>
      <c r="I14" s="48">
        <v>8888.0</v>
      </c>
      <c r="J14" s="48">
        <v>11800.0</v>
      </c>
      <c r="K14" s="58">
        <v>36750.0</v>
      </c>
      <c r="L14" s="48">
        <v>13500.0</v>
      </c>
      <c r="M14" s="48">
        <v>28500.0</v>
      </c>
      <c r="N14" s="48">
        <v>3333.0</v>
      </c>
      <c r="O14" s="48">
        <v>925.0</v>
      </c>
      <c r="P14" s="17">
        <v>2855.0</v>
      </c>
      <c r="Q14" s="17">
        <v>44.0</v>
      </c>
      <c r="S14" s="62"/>
    </row>
    <row r="15">
      <c r="B15" s="22" t="s">
        <v>200</v>
      </c>
      <c r="D15" s="48">
        <v>1.0</v>
      </c>
      <c r="E15" s="48">
        <v>4101.0</v>
      </c>
      <c r="F15" s="48">
        <v>3001.0</v>
      </c>
      <c r="G15" s="48">
        <v>3700.0</v>
      </c>
      <c r="H15" s="48">
        <v>11950.0</v>
      </c>
      <c r="I15" s="48">
        <v>7778.0</v>
      </c>
      <c r="J15" s="48">
        <v>9510.0</v>
      </c>
      <c r="K15" s="48">
        <v>21400.0</v>
      </c>
      <c r="L15" s="48">
        <v>13869.0</v>
      </c>
      <c r="M15" s="48">
        <v>18350.0</v>
      </c>
      <c r="N15" s="48">
        <v>1890.0</v>
      </c>
      <c r="O15" s="48">
        <v>989.0</v>
      </c>
      <c r="P15" s="17">
        <v>1777.0</v>
      </c>
      <c r="Q15" s="17">
        <v>59.0</v>
      </c>
    </row>
    <row r="16">
      <c r="B16" s="22" t="s">
        <v>156</v>
      </c>
      <c r="D16" s="48">
        <v>1.0</v>
      </c>
      <c r="E16" s="48">
        <v>4225.0</v>
      </c>
      <c r="F16" s="48">
        <v>3260.0</v>
      </c>
      <c r="G16" s="48">
        <v>4050.0</v>
      </c>
      <c r="H16" s="48">
        <v>11500.0</v>
      </c>
      <c r="I16" s="48">
        <v>8580.0</v>
      </c>
      <c r="J16" s="48">
        <v>10900.0</v>
      </c>
      <c r="K16" s="48">
        <v>25500.0</v>
      </c>
      <c r="L16" s="48">
        <v>14850.0</v>
      </c>
      <c r="M16" s="48">
        <v>24750.0</v>
      </c>
      <c r="N16" s="48">
        <v>2040.0</v>
      </c>
      <c r="O16" s="48">
        <v>900.0</v>
      </c>
      <c r="P16" s="17">
        <v>1900.0</v>
      </c>
    </row>
    <row r="17">
      <c r="B17" s="22" t="s">
        <v>48</v>
      </c>
      <c r="D17" s="43"/>
      <c r="E17" s="48">
        <v>4350.0</v>
      </c>
      <c r="F17" s="58">
        <v>3650.0</v>
      </c>
      <c r="G17" s="48">
        <v>4100.0</v>
      </c>
      <c r="H17" s="43"/>
      <c r="I17" s="43"/>
      <c r="J17" s="43"/>
      <c r="K17" s="48">
        <v>28000.0</v>
      </c>
      <c r="L17" s="48">
        <v>14000.0</v>
      </c>
      <c r="M17" s="48">
        <v>22000.0</v>
      </c>
      <c r="N17" s="58">
        <v>2400.0</v>
      </c>
      <c r="O17" s="48">
        <v>1050.0</v>
      </c>
      <c r="P17" s="17">
        <v>2100.0</v>
      </c>
      <c r="S17" s="62"/>
    </row>
    <row r="18">
      <c r="B18" s="22" t="s">
        <v>153</v>
      </c>
      <c r="D18" s="48">
        <v>1.0</v>
      </c>
      <c r="E18" s="58">
        <v>4400.0</v>
      </c>
      <c r="F18" s="48">
        <v>3475.0</v>
      </c>
      <c r="G18" s="58">
        <v>4375.0</v>
      </c>
      <c r="H18" s="48">
        <v>12500.0</v>
      </c>
      <c r="I18" s="48">
        <v>9000.0</v>
      </c>
      <c r="J18" s="58">
        <v>12375.0</v>
      </c>
      <c r="K18" s="48">
        <v>24750.0</v>
      </c>
      <c r="L18" s="48">
        <v>11250.0</v>
      </c>
      <c r="M18" s="48">
        <v>24300.0</v>
      </c>
      <c r="N18" s="48">
        <v>2975.0</v>
      </c>
      <c r="O18" s="48">
        <v>775.0</v>
      </c>
      <c r="P18" s="17">
        <v>2800.0</v>
      </c>
      <c r="Q18" s="17">
        <v>37.0</v>
      </c>
      <c r="S18" s="63"/>
    </row>
    <row r="19">
      <c r="B19" s="22" t="s">
        <v>109</v>
      </c>
      <c r="D19" s="48">
        <v>1.0</v>
      </c>
      <c r="E19" s="48">
        <v>4300.0</v>
      </c>
      <c r="F19" s="48">
        <v>3600.0</v>
      </c>
      <c r="G19" s="48">
        <v>4000.0</v>
      </c>
      <c r="H19" s="43"/>
      <c r="I19" s="43"/>
      <c r="J19" s="43"/>
      <c r="K19" s="48">
        <v>24000.0</v>
      </c>
      <c r="L19" s="48">
        <v>14000.0</v>
      </c>
      <c r="M19" s="48">
        <v>18000.0</v>
      </c>
      <c r="N19" s="58">
        <v>2400.0</v>
      </c>
      <c r="O19" s="48">
        <v>900.0</v>
      </c>
      <c r="P19" s="17">
        <v>1800.0</v>
      </c>
      <c r="Q19" s="17">
        <v>80.0</v>
      </c>
    </row>
    <row r="20">
      <c r="B20" s="22" t="s">
        <v>186</v>
      </c>
      <c r="D20" s="48">
        <v>1.0</v>
      </c>
      <c r="E20" s="48">
        <v>4290.0</v>
      </c>
      <c r="F20" s="48">
        <v>3420.0</v>
      </c>
      <c r="G20" s="48">
        <v>3990.0</v>
      </c>
      <c r="H20" s="48">
        <v>12750.0</v>
      </c>
      <c r="I20" s="48">
        <v>9500.0</v>
      </c>
      <c r="J20" s="48">
        <v>11500.0</v>
      </c>
      <c r="K20" s="48">
        <v>27500.0</v>
      </c>
      <c r="L20" s="48">
        <v>15500.0</v>
      </c>
      <c r="M20" s="48">
        <v>24500.0</v>
      </c>
      <c r="N20" s="48">
        <v>2700.0</v>
      </c>
      <c r="O20" s="48">
        <v>980.0</v>
      </c>
      <c r="P20" s="17">
        <v>2700.0</v>
      </c>
      <c r="Q20" s="17">
        <v>75.0</v>
      </c>
    </row>
    <row r="21">
      <c r="B21" s="22" t="s">
        <v>172</v>
      </c>
      <c r="D21" s="48">
        <v>1.0</v>
      </c>
      <c r="E21" s="48">
        <v>4125.0</v>
      </c>
      <c r="F21" s="48">
        <v>2900.0</v>
      </c>
      <c r="G21" s="48">
        <v>3300.0</v>
      </c>
      <c r="H21" s="48">
        <v>12900.0</v>
      </c>
      <c r="I21" s="48">
        <v>7700.0</v>
      </c>
      <c r="J21" s="48">
        <v>10500.0</v>
      </c>
      <c r="K21" s="48">
        <v>19500.0</v>
      </c>
      <c r="L21" s="48">
        <v>6800.0</v>
      </c>
      <c r="M21" s="48">
        <v>9400.0</v>
      </c>
      <c r="N21" s="48">
        <v>2500.0</v>
      </c>
      <c r="O21" s="48">
        <v>811.0</v>
      </c>
      <c r="P21" s="17">
        <v>1940.0</v>
      </c>
      <c r="Q21" s="17">
        <v>54.0</v>
      </c>
    </row>
    <row r="22">
      <c r="B22" s="22" t="s">
        <v>201</v>
      </c>
      <c r="D22" s="48">
        <v>1.0</v>
      </c>
      <c r="E22" s="48">
        <v>3999.5</v>
      </c>
      <c r="F22" s="48">
        <v>3475.0</v>
      </c>
      <c r="G22" s="48">
        <v>3675.0</v>
      </c>
      <c r="H22" s="48">
        <v>11560.0</v>
      </c>
      <c r="I22" s="48">
        <v>9500.0</v>
      </c>
      <c r="J22" s="48">
        <v>10420.0</v>
      </c>
      <c r="K22" s="48">
        <v>16800.0</v>
      </c>
      <c r="L22" s="48">
        <v>11500.0</v>
      </c>
      <c r="M22" s="48">
        <v>16000.0</v>
      </c>
      <c r="N22" s="48">
        <v>1210.0</v>
      </c>
      <c r="O22" s="48">
        <v>650.0</v>
      </c>
      <c r="P22" s="48">
        <v>1100.0</v>
      </c>
      <c r="Q22" s="48">
        <v>65.0</v>
      </c>
    </row>
    <row r="23">
      <c r="B23" s="22" t="s">
        <v>162</v>
      </c>
      <c r="D23" s="48">
        <v>1.0</v>
      </c>
      <c r="E23" s="48">
        <v>4225.0</v>
      </c>
      <c r="F23" s="48">
        <v>3005.0</v>
      </c>
      <c r="G23" s="48">
        <v>3850.0</v>
      </c>
      <c r="H23" s="43"/>
      <c r="I23" s="43"/>
      <c r="J23" s="43"/>
      <c r="K23" s="48">
        <v>21500.0</v>
      </c>
      <c r="L23" s="48">
        <v>13800.0</v>
      </c>
      <c r="M23" s="48">
        <v>17002.0</v>
      </c>
      <c r="N23" s="48">
        <v>2675.0</v>
      </c>
      <c r="O23" s="48">
        <v>1050.0</v>
      </c>
      <c r="P23" s="58">
        <v>2300.0</v>
      </c>
      <c r="Q23" s="48">
        <v>72.0</v>
      </c>
    </row>
    <row r="24">
      <c r="B24" s="22" t="s">
        <v>157</v>
      </c>
      <c r="D24" s="48">
        <v>1.0</v>
      </c>
      <c r="E24" s="48">
        <v>4100.0</v>
      </c>
      <c r="F24" s="48">
        <v>3300.0</v>
      </c>
      <c r="G24" s="48">
        <v>3700.0</v>
      </c>
      <c r="H24" s="43"/>
      <c r="I24" s="43"/>
      <c r="J24" s="43"/>
      <c r="K24" s="48">
        <v>23500.0</v>
      </c>
      <c r="L24" s="48">
        <v>14000.0</v>
      </c>
      <c r="M24" s="48">
        <v>17000.0</v>
      </c>
      <c r="N24" s="48">
        <v>2200.0</v>
      </c>
      <c r="O24" s="48">
        <v>888.0</v>
      </c>
      <c r="P24" s="48">
        <v>1650.0</v>
      </c>
      <c r="Q24" s="43"/>
    </row>
    <row r="25">
      <c r="B25" s="22" t="s">
        <v>160</v>
      </c>
      <c r="D25" s="48">
        <v>1.0</v>
      </c>
      <c r="E25" s="48">
        <v>4050.0</v>
      </c>
      <c r="F25" s="48">
        <v>3450.0</v>
      </c>
      <c r="G25" s="48">
        <v>3560.0</v>
      </c>
      <c r="H25" s="48">
        <v>10900.0</v>
      </c>
      <c r="I25" s="48">
        <v>8250.0</v>
      </c>
      <c r="J25" s="48">
        <v>9400.0</v>
      </c>
      <c r="K25" s="48">
        <v>22000.0</v>
      </c>
      <c r="L25" s="48">
        <v>12500.0</v>
      </c>
      <c r="M25" s="48">
        <v>17600.0</v>
      </c>
      <c r="N25" s="48">
        <v>2020.0</v>
      </c>
      <c r="O25" s="48">
        <v>940.0</v>
      </c>
      <c r="P25" s="48">
        <v>1600.0</v>
      </c>
      <c r="Q25" s="48">
        <v>49.0</v>
      </c>
    </row>
    <row r="26">
      <c r="B26" s="22" t="s">
        <v>42</v>
      </c>
      <c r="D26" s="48">
        <v>0.0</v>
      </c>
      <c r="E26" s="48">
        <v>3980.0</v>
      </c>
      <c r="F26" s="48">
        <v>3130.0</v>
      </c>
      <c r="G26" s="48">
        <v>3590.0</v>
      </c>
      <c r="H26" s="48">
        <v>10880.0</v>
      </c>
      <c r="I26" s="48">
        <v>9110.0</v>
      </c>
      <c r="J26" s="48">
        <v>10001.0</v>
      </c>
      <c r="K26" s="48">
        <v>24990.0</v>
      </c>
      <c r="L26" s="48">
        <v>13888.0</v>
      </c>
      <c r="M26" s="48">
        <v>17200.0</v>
      </c>
      <c r="N26" s="48">
        <v>1999.0</v>
      </c>
      <c r="O26" s="48">
        <v>1001.0</v>
      </c>
      <c r="P26" s="48">
        <v>1440.0</v>
      </c>
      <c r="Q26" s="58">
        <v>96.0</v>
      </c>
    </row>
    <row r="27">
      <c r="B27" s="22" t="s">
        <v>202</v>
      </c>
      <c r="D27" s="48">
        <v>1.0</v>
      </c>
      <c r="E27" s="48">
        <v>4000.0</v>
      </c>
      <c r="F27" s="48">
        <v>3500.0</v>
      </c>
      <c r="G27" s="48">
        <v>3600.0</v>
      </c>
      <c r="H27" s="48">
        <v>12300.0</v>
      </c>
      <c r="I27" s="48">
        <v>9100.0</v>
      </c>
      <c r="J27" s="48">
        <v>9700.0</v>
      </c>
      <c r="K27" s="48">
        <v>19800.0</v>
      </c>
      <c r="L27" s="48">
        <v>14400.0</v>
      </c>
      <c r="M27" s="48">
        <v>16000.0</v>
      </c>
      <c r="N27" s="48">
        <v>1800.0</v>
      </c>
      <c r="O27" s="48">
        <v>1000.0</v>
      </c>
      <c r="P27" s="48">
        <v>1100.0</v>
      </c>
      <c r="Q27" s="48">
        <v>50.0</v>
      </c>
    </row>
    <row r="28">
      <c r="B28" s="2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>
      <c r="B29" s="22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>
      <c r="B30" s="18" t="s">
        <v>60</v>
      </c>
      <c r="D30" s="57">
        <f t="shared" ref="D30:Q30" si="1">AVERAGE(D2:D27)</f>
        <v>0.84</v>
      </c>
      <c r="E30" s="64">
        <f t="shared" si="1"/>
        <v>4153.939231</v>
      </c>
      <c r="F30" s="64">
        <f t="shared" si="1"/>
        <v>3330.730769</v>
      </c>
      <c r="G30" s="64">
        <f t="shared" si="1"/>
        <v>3834.6</v>
      </c>
      <c r="H30" s="64">
        <f t="shared" si="1"/>
        <v>12014.00632</v>
      </c>
      <c r="I30" s="64">
        <f t="shared" si="1"/>
        <v>8797.842105</v>
      </c>
      <c r="J30" s="64">
        <f t="shared" si="1"/>
        <v>10719.72222</v>
      </c>
      <c r="K30" s="64">
        <f t="shared" si="1"/>
        <v>24956.4</v>
      </c>
      <c r="L30" s="64">
        <f t="shared" si="1"/>
        <v>13651.08</v>
      </c>
      <c r="M30" s="64">
        <f t="shared" si="1"/>
        <v>20740.45833</v>
      </c>
      <c r="N30" s="64">
        <f t="shared" si="1"/>
        <v>2325.68</v>
      </c>
      <c r="O30" s="43">
        <f t="shared" si="1"/>
        <v>947.96</v>
      </c>
      <c r="P30" s="64">
        <f t="shared" si="1"/>
        <v>1976.333333</v>
      </c>
      <c r="Q30" s="43">
        <f t="shared" si="1"/>
        <v>62.1</v>
      </c>
    </row>
    <row r="31">
      <c r="B31" s="18" t="s">
        <v>61</v>
      </c>
      <c r="D31" s="43">
        <f t="shared" ref="D31:Q31" si="2">MEDIAN(D2:D27)</f>
        <v>1</v>
      </c>
      <c r="E31" s="64">
        <f t="shared" si="2"/>
        <v>4150</v>
      </c>
      <c r="F31" s="64">
        <f t="shared" si="2"/>
        <v>3400</v>
      </c>
      <c r="G31" s="64">
        <f t="shared" si="2"/>
        <v>3850</v>
      </c>
      <c r="H31" s="64">
        <f t="shared" si="2"/>
        <v>12000</v>
      </c>
      <c r="I31" s="64">
        <f t="shared" si="2"/>
        <v>9000</v>
      </c>
      <c r="J31" s="64">
        <f t="shared" si="2"/>
        <v>10700</v>
      </c>
      <c r="K31" s="64">
        <f t="shared" si="2"/>
        <v>24000</v>
      </c>
      <c r="L31" s="64">
        <f t="shared" si="2"/>
        <v>14000</v>
      </c>
      <c r="M31" s="64">
        <f t="shared" si="2"/>
        <v>19200</v>
      </c>
      <c r="N31" s="64">
        <f t="shared" si="2"/>
        <v>2400</v>
      </c>
      <c r="O31" s="43">
        <f t="shared" si="2"/>
        <v>980</v>
      </c>
      <c r="P31" s="64">
        <f t="shared" si="2"/>
        <v>1900</v>
      </c>
      <c r="Q31" s="43">
        <f t="shared" si="2"/>
        <v>60</v>
      </c>
    </row>
    <row r="32">
      <c r="B32" s="18" t="s">
        <v>62</v>
      </c>
      <c r="D32" s="48">
        <v>0.0</v>
      </c>
      <c r="E32" s="64">
        <f t="shared" ref="E32:Q32" si="3">MIN(E2:E27)</f>
        <v>3878.46</v>
      </c>
      <c r="F32" s="64">
        <f t="shared" si="3"/>
        <v>2900</v>
      </c>
      <c r="G32" s="64">
        <f t="shared" si="3"/>
        <v>3300</v>
      </c>
      <c r="H32" s="64">
        <f t="shared" si="3"/>
        <v>10613.06</v>
      </c>
      <c r="I32" s="64">
        <f t="shared" si="3"/>
        <v>7500</v>
      </c>
      <c r="J32" s="64">
        <f t="shared" si="3"/>
        <v>8750</v>
      </c>
      <c r="K32" s="64">
        <f t="shared" si="3"/>
        <v>16800</v>
      </c>
      <c r="L32" s="64">
        <f t="shared" si="3"/>
        <v>6800</v>
      </c>
      <c r="M32" s="64">
        <f t="shared" si="3"/>
        <v>9400</v>
      </c>
      <c r="N32" s="64">
        <f t="shared" si="3"/>
        <v>1210</v>
      </c>
      <c r="O32" s="43">
        <f t="shared" si="3"/>
        <v>650</v>
      </c>
      <c r="P32" s="64">
        <f t="shared" si="3"/>
        <v>1100</v>
      </c>
      <c r="Q32" s="43">
        <f t="shared" si="3"/>
        <v>36</v>
      </c>
    </row>
    <row r="33">
      <c r="B33" s="18" t="s">
        <v>63</v>
      </c>
      <c r="D33" s="48">
        <v>1.0</v>
      </c>
      <c r="E33" s="64">
        <f t="shared" ref="E33:Q33" si="4">MAX(E2:E27)</f>
        <v>4400</v>
      </c>
      <c r="F33" s="64">
        <f t="shared" si="4"/>
        <v>3650</v>
      </c>
      <c r="G33" s="64">
        <f t="shared" si="4"/>
        <v>4375</v>
      </c>
      <c r="H33" s="64">
        <f t="shared" si="4"/>
        <v>13100</v>
      </c>
      <c r="I33" s="64">
        <f t="shared" si="4"/>
        <v>10000</v>
      </c>
      <c r="J33" s="64">
        <f t="shared" si="4"/>
        <v>12375</v>
      </c>
      <c r="K33" s="64">
        <f t="shared" si="4"/>
        <v>36750</v>
      </c>
      <c r="L33" s="64">
        <f t="shared" si="4"/>
        <v>16000</v>
      </c>
      <c r="M33" s="64">
        <f t="shared" si="4"/>
        <v>32000</v>
      </c>
      <c r="N33" s="64">
        <f t="shared" si="4"/>
        <v>3333</v>
      </c>
      <c r="O33" s="43">
        <f t="shared" si="4"/>
        <v>1150</v>
      </c>
      <c r="P33" s="64">
        <f t="shared" si="4"/>
        <v>2855</v>
      </c>
      <c r="Q33" s="43">
        <f t="shared" si="4"/>
        <v>96</v>
      </c>
    </row>
    <row r="34">
      <c r="B34" s="4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</row>
    <row r="35">
      <c r="B35" s="18" t="s">
        <v>203</v>
      </c>
      <c r="D35" s="48">
        <v>0.0</v>
      </c>
      <c r="E35" s="65">
        <v>4793.0</v>
      </c>
      <c r="F35" s="65">
        <v>3794.0</v>
      </c>
      <c r="G35" s="66">
        <v>4769.0</v>
      </c>
      <c r="H35" s="65">
        <v>15150.0</v>
      </c>
      <c r="I35" s="65">
        <v>10265.0</v>
      </c>
      <c r="J35" s="27">
        <v>15011.0</v>
      </c>
      <c r="K35" s="65">
        <v>44705.0</v>
      </c>
      <c r="L35" s="65">
        <v>16521.0</v>
      </c>
      <c r="M35" s="27">
        <v>42490.0</v>
      </c>
      <c r="N35" s="65">
        <v>2445.0</v>
      </c>
      <c r="O35" s="65">
        <v>1192.0</v>
      </c>
      <c r="P35" s="27">
        <v>2283.0</v>
      </c>
      <c r="Q35" s="48">
        <v>101.81</v>
      </c>
    </row>
    <row r="36">
      <c r="B36" s="4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>
      <c r="B37" s="4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</row>
    <row r="38">
      <c r="B38" s="4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</row>
    <row r="39">
      <c r="B39" s="4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>
      <c r="B40" s="4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1">
      <c r="B41" s="4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  <row r="42">
      <c r="B42" s="4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</row>
    <row r="43">
      <c r="B43" s="4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>
      <c r="B44" s="4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>
      <c r="B45" s="4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</row>
    <row r="46">
      <c r="B46" s="4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</row>
    <row r="47">
      <c r="B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</row>
    <row r="48">
      <c r="B48" s="4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>
      <c r="B49" s="4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</row>
    <row r="50">
      <c r="B50" s="4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>
      <c r="B51" s="4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>
      <c r="B52" s="4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>
      <c r="B53" s="44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>
      <c r="B54" s="44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>
      <c r="B55" s="4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</row>
    <row r="56">
      <c r="B56" s="4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</row>
    <row r="57">
      <c r="B57" s="44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>
      <c r="B58" s="44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</row>
    <row r="59">
      <c r="B59" s="44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>
      <c r="B60" s="4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>
      <c r="B61" s="44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>
      <c r="B62" s="4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>
      <c r="B63" s="44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</row>
    <row r="64">
      <c r="B64" s="4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>
      <c r="B65" s="44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</row>
    <row r="66">
      <c r="B66" s="4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</row>
    <row r="67">
      <c r="B67" s="44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</row>
    <row r="68">
      <c r="B68" s="4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>
      <c r="B69" s="44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>
      <c r="B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</row>
    <row r="71">
      <c r="B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</row>
    <row r="72">
      <c r="B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</row>
    <row r="73">
      <c r="B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>
      <c r="B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</row>
    <row r="75">
      <c r="B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</row>
    <row r="76">
      <c r="B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>
      <c r="B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>
      <c r="B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>
      <c r="B79" s="44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</row>
    <row r="80">
      <c r="B80" s="44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</row>
    <row r="81">
      <c r="B81" s="44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</row>
    <row r="82">
      <c r="B82" s="4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</row>
    <row r="83">
      <c r="B83" s="4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</row>
    <row r="84">
      <c r="B84" s="4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</row>
    <row r="85">
      <c r="B85" s="4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</row>
    <row r="86">
      <c r="B86" s="4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</row>
    <row r="87">
      <c r="B87" s="4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</row>
    <row r="88">
      <c r="B88" s="4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>
      <c r="B89" s="4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</row>
    <row r="90">
      <c r="B90" s="4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</row>
    <row r="91">
      <c r="B91" s="4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</row>
    <row r="92">
      <c r="B92" s="4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</row>
    <row r="93">
      <c r="B93" s="4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</row>
    <row r="94">
      <c r="B94" s="4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</row>
    <row r="95">
      <c r="B95" s="4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</row>
    <row r="96">
      <c r="B96" s="4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</row>
    <row r="97">
      <c r="B97" s="4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</row>
    <row r="98">
      <c r="B98" s="4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</row>
    <row r="99">
      <c r="B99" s="44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</row>
    <row r="100">
      <c r="B100" s="44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>
      <c r="B101" s="44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</row>
    <row r="102">
      <c r="B102" s="44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</row>
    <row r="103">
      <c r="B103" s="44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>
      <c r="B104" s="44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</row>
    <row r="105">
      <c r="B105" s="44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>
      <c r="B106" s="44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</row>
    <row r="107">
      <c r="B107" s="44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</row>
    <row r="108">
      <c r="B108" s="44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</row>
    <row r="109">
      <c r="B109" s="44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>
      <c r="B110" s="44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>
      <c r="B111" s="44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>
      <c r="B112" s="44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</row>
    <row r="113">
      <c r="B113" s="44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</row>
    <row r="114">
      <c r="B114" s="44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</row>
    <row r="115">
      <c r="B115" s="44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>
      <c r="B116" s="44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</row>
    <row r="117">
      <c r="B117" s="44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</row>
    <row r="118">
      <c r="B118" s="44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</row>
    <row r="119">
      <c r="B119" s="44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</row>
    <row r="120">
      <c r="B120" s="44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>
      <c r="B121" s="44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</row>
    <row r="122">
      <c r="B122" s="44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</row>
    <row r="123">
      <c r="B123" s="44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</row>
    <row r="124">
      <c r="B124" s="44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</row>
    <row r="125">
      <c r="B125" s="44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</row>
    <row r="126">
      <c r="B126" s="44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</row>
    <row r="127">
      <c r="B127" s="4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>
      <c r="B128" s="4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</row>
    <row r="129">
      <c r="B129" s="4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</row>
    <row r="130">
      <c r="B130" s="44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</row>
    <row r="131">
      <c r="B131" s="44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</row>
    <row r="132">
      <c r="B132" s="44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>
      <c r="B133" s="44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>
      <c r="B134" s="44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>
      <c r="B135" s="44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</row>
    <row r="136">
      <c r="B136" s="44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</row>
    <row r="137">
      <c r="B137" s="44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</row>
    <row r="138">
      <c r="B138" s="44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  <row r="139">
      <c r="B139" s="44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>
      <c r="B140" s="44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>
      <c r="B141" s="44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</row>
    <row r="142">
      <c r="B142" s="44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</row>
    <row r="143">
      <c r="B143" s="44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</row>
    <row r="144">
      <c r="B144" s="44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</row>
    <row r="145">
      <c r="B145" s="44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</row>
    <row r="146">
      <c r="B146" s="44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>
      <c r="B147" s="44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</row>
    <row r="148">
      <c r="B148" s="44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</row>
    <row r="149">
      <c r="B149" s="44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</row>
    <row r="150">
      <c r="B150" s="44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>
      <c r="B151" s="44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>
      <c r="B152" s="44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</row>
    <row r="153">
      <c r="B153" s="44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</row>
    <row r="154">
      <c r="B154" s="44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  <row r="155">
      <c r="B155" s="44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</row>
    <row r="156">
      <c r="B156" s="44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</row>
    <row r="157">
      <c r="B157" s="44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</row>
    <row r="158">
      <c r="B158" s="44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</row>
    <row r="159">
      <c r="B159" s="44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</row>
    <row r="160">
      <c r="B160" s="44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</row>
    <row r="161">
      <c r="B161" s="44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>
      <c r="B162" s="44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</row>
    <row r="163">
      <c r="B163" s="44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</row>
    <row r="164">
      <c r="B164" s="44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</row>
    <row r="165">
      <c r="B165" s="44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>
      <c r="B166" s="44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</row>
    <row r="167">
      <c r="B167" s="44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>
      <c r="B168" s="44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</row>
    <row r="169">
      <c r="B169" s="44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</row>
    <row r="170">
      <c r="B170" s="44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</row>
    <row r="171">
      <c r="B171" s="44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</row>
    <row r="172">
      <c r="B172" s="44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</row>
    <row r="173">
      <c r="B173" s="44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</row>
    <row r="174">
      <c r="B174" s="44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>
      <c r="B175" s="44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>
      <c r="B176" s="44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>
      <c r="B177" s="44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</row>
    <row r="178">
      <c r="B178" s="44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</row>
    <row r="179">
      <c r="B179" s="44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</row>
    <row r="180">
      <c r="B180" s="44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</row>
    <row r="181">
      <c r="B181" s="44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</row>
    <row r="182">
      <c r="B182" s="44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>
      <c r="B183" s="44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>
      <c r="B184" s="44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</row>
    <row r="185">
      <c r="B185" s="44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</row>
    <row r="186">
      <c r="B186" s="44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>
      <c r="B187" s="44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</row>
    <row r="188">
      <c r="B188" s="44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</row>
    <row r="189">
      <c r="B189" s="44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</row>
    <row r="190">
      <c r="B190" s="44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</row>
    <row r="191">
      <c r="B191" s="44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>
      <c r="B192" s="44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</row>
    <row r="193">
      <c r="B193" s="44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</row>
    <row r="194">
      <c r="B194" s="44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>
      <c r="B195" s="44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</row>
    <row r="196">
      <c r="B196" s="44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</row>
    <row r="197">
      <c r="B197" s="44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</row>
    <row r="198">
      <c r="B198" s="44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</row>
    <row r="199">
      <c r="B199" s="44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>
      <c r="B200" s="44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</row>
    <row r="201">
      <c r="B201" s="44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</row>
    <row r="202">
      <c r="B202" s="44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</row>
    <row r="203">
      <c r="B203" s="44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</row>
    <row r="204">
      <c r="B204" s="44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</row>
    <row r="205">
      <c r="B205" s="44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</row>
    <row r="206">
      <c r="B206" s="44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</row>
    <row r="207">
      <c r="B207" s="44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>
      <c r="B208" s="44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>
      <c r="B209" s="44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>
      <c r="B210" s="44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</row>
    <row r="211">
      <c r="B211" s="44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</row>
    <row r="212">
      <c r="B212" s="44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</row>
    <row r="213">
      <c r="B213" s="44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</row>
    <row r="214">
      <c r="B214" s="44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</row>
    <row r="215">
      <c r="B215" s="44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>
      <c r="B216" s="44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>
      <c r="B217" s="44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>
      <c r="B218" s="44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>
      <c r="B219" s="44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>
      <c r="B220" s="44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</row>
    <row r="221">
      <c r="B221" s="44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</row>
    <row r="222">
      <c r="B222" s="44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</row>
    <row r="223">
      <c r="B223" s="44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</row>
    <row r="224">
      <c r="B224" s="44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</row>
    <row r="225">
      <c r="B225" s="44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</row>
    <row r="226">
      <c r="B226" s="44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</row>
    <row r="227">
      <c r="B227" s="44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</row>
    <row r="228">
      <c r="B228" s="44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</row>
    <row r="229">
      <c r="B229" s="44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</row>
    <row r="230">
      <c r="B230" s="44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</row>
    <row r="231">
      <c r="B231" s="44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</row>
    <row r="232">
      <c r="B232" s="44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</row>
    <row r="233">
      <c r="B233" s="44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</row>
    <row r="234">
      <c r="B234" s="44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</row>
    <row r="235">
      <c r="B235" s="44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</row>
    <row r="236">
      <c r="B236" s="44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</row>
    <row r="237">
      <c r="B237" s="44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</row>
    <row r="238">
      <c r="B238" s="44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</row>
    <row r="239">
      <c r="B239" s="44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</row>
    <row r="240">
      <c r="B240" s="44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</row>
    <row r="241">
      <c r="B241" s="44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</row>
    <row r="242">
      <c r="B242" s="44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</row>
    <row r="243">
      <c r="B243" s="44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</row>
    <row r="244">
      <c r="B244" s="44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</row>
    <row r="245">
      <c r="B245" s="44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</row>
    <row r="246">
      <c r="B246" s="44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</row>
    <row r="247">
      <c r="B247" s="44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</row>
    <row r="248">
      <c r="B248" s="44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</row>
    <row r="249">
      <c r="B249" s="44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</row>
    <row r="250">
      <c r="B250" s="44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</row>
    <row r="251">
      <c r="B251" s="44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</row>
    <row r="252">
      <c r="B252" s="44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</row>
    <row r="253">
      <c r="B253" s="44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</row>
    <row r="254">
      <c r="B254" s="44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</row>
    <row r="255">
      <c r="B255" s="44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</row>
    <row r="256">
      <c r="B256" s="44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</row>
    <row r="257">
      <c r="B257" s="44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</row>
    <row r="258">
      <c r="B258" s="44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</row>
    <row r="259">
      <c r="B259" s="44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</row>
    <row r="260">
      <c r="B260" s="44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</row>
    <row r="261">
      <c r="B261" s="44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</row>
    <row r="262">
      <c r="B262" s="44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</row>
    <row r="263">
      <c r="B263" s="44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</row>
    <row r="264">
      <c r="B264" s="44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</row>
    <row r="265">
      <c r="B265" s="44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</row>
    <row r="266">
      <c r="B266" s="44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</row>
    <row r="267">
      <c r="B267" s="44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</row>
    <row r="268">
      <c r="B268" s="44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</row>
    <row r="269">
      <c r="B269" s="44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</row>
    <row r="270">
      <c r="B270" s="44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</row>
    <row r="271">
      <c r="B271" s="44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</row>
    <row r="272">
      <c r="B272" s="44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</row>
    <row r="273">
      <c r="B273" s="44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</row>
    <row r="274">
      <c r="B274" s="44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</row>
    <row r="275">
      <c r="B275" s="44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</row>
    <row r="276">
      <c r="B276" s="44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</row>
    <row r="277">
      <c r="B277" s="44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</row>
    <row r="278">
      <c r="B278" s="44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</row>
    <row r="279">
      <c r="B279" s="44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</row>
    <row r="280">
      <c r="B280" s="44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</row>
    <row r="281">
      <c r="B281" s="44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</row>
    <row r="282">
      <c r="B282" s="44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</row>
    <row r="283">
      <c r="B283" s="44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</row>
    <row r="284">
      <c r="B284" s="44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</row>
    <row r="285">
      <c r="B285" s="44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</row>
    <row r="286">
      <c r="B286" s="44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</row>
    <row r="287">
      <c r="B287" s="44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</row>
    <row r="288">
      <c r="B288" s="44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</row>
    <row r="289">
      <c r="B289" s="44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</row>
    <row r="290">
      <c r="B290" s="44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</row>
    <row r="291">
      <c r="B291" s="44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</row>
    <row r="292">
      <c r="B292" s="44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</row>
    <row r="293">
      <c r="B293" s="44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</row>
    <row r="294">
      <c r="B294" s="44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</row>
    <row r="295">
      <c r="B295" s="44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</row>
    <row r="296">
      <c r="B296" s="44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</row>
    <row r="297">
      <c r="B297" s="44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</row>
    <row r="298">
      <c r="B298" s="44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</row>
    <row r="299">
      <c r="B299" s="44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</row>
    <row r="300">
      <c r="B300" s="44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</row>
    <row r="301">
      <c r="B301" s="44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</row>
    <row r="302">
      <c r="B302" s="44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>
      <c r="B303" s="44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>
      <c r="B304" s="44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>
      <c r="B305" s="44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>
      <c r="B306" s="44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>
      <c r="B307" s="44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>
      <c r="B308" s="44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>
      <c r="B309" s="44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>
      <c r="B310" s="44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>
      <c r="B311" s="44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>
      <c r="B312" s="44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>
      <c r="B313" s="44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>
      <c r="B314" s="44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>
      <c r="B315" s="44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>
      <c r="B316" s="44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>
      <c r="B317" s="44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>
      <c r="B318" s="44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>
      <c r="B319" s="44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>
      <c r="B320" s="44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>
      <c r="B321" s="44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>
      <c r="B322" s="44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>
      <c r="B323" s="44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>
      <c r="B324" s="44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>
      <c r="B325" s="44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  <row r="326">
      <c r="B326" s="44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</row>
    <row r="327">
      <c r="B327" s="44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</row>
    <row r="328">
      <c r="B328" s="44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</row>
    <row r="329">
      <c r="B329" s="44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</row>
    <row r="330">
      <c r="B330" s="44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</row>
    <row r="331">
      <c r="B331" s="44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</row>
    <row r="332">
      <c r="B332" s="44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</row>
    <row r="333">
      <c r="B333" s="44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</row>
    <row r="334">
      <c r="B334" s="44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</row>
    <row r="335">
      <c r="B335" s="44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</row>
    <row r="336">
      <c r="B336" s="44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</row>
    <row r="337">
      <c r="B337" s="44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</row>
    <row r="338">
      <c r="B338" s="44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</row>
    <row r="339">
      <c r="B339" s="44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</row>
    <row r="340">
      <c r="B340" s="44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</row>
    <row r="341">
      <c r="B341" s="44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</row>
    <row r="342">
      <c r="B342" s="44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</row>
    <row r="343">
      <c r="B343" s="44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</row>
    <row r="344">
      <c r="B344" s="44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</row>
    <row r="345">
      <c r="B345" s="44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</row>
    <row r="346">
      <c r="B346" s="44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</row>
    <row r="347">
      <c r="B347" s="44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</row>
    <row r="348">
      <c r="B348" s="44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</row>
    <row r="349">
      <c r="B349" s="44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</row>
    <row r="350">
      <c r="B350" s="44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</row>
    <row r="351">
      <c r="B351" s="44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</row>
    <row r="352">
      <c r="B352" s="44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</row>
    <row r="353">
      <c r="B353" s="44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</row>
    <row r="354">
      <c r="B354" s="44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</row>
    <row r="355">
      <c r="B355" s="44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</row>
    <row r="356">
      <c r="B356" s="44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</row>
    <row r="357">
      <c r="B357" s="44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</row>
    <row r="358">
      <c r="B358" s="44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</row>
    <row r="359">
      <c r="B359" s="44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</row>
    <row r="360">
      <c r="B360" s="44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</row>
    <row r="361">
      <c r="B361" s="44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</row>
    <row r="362">
      <c r="B362" s="44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</row>
    <row r="363">
      <c r="B363" s="44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</row>
    <row r="364">
      <c r="B364" s="44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</row>
    <row r="365">
      <c r="B365" s="44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</row>
    <row r="366">
      <c r="B366" s="44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</row>
    <row r="367">
      <c r="B367" s="44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</row>
    <row r="368">
      <c r="B368" s="44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</row>
    <row r="369">
      <c r="B369" s="44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</row>
    <row r="370">
      <c r="B370" s="44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</row>
    <row r="371">
      <c r="B371" s="44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</row>
    <row r="372">
      <c r="B372" s="44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</row>
    <row r="373">
      <c r="B373" s="44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</row>
    <row r="374">
      <c r="B374" s="44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</row>
    <row r="375">
      <c r="B375" s="44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</row>
    <row r="376">
      <c r="B376" s="44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</row>
    <row r="377">
      <c r="B377" s="44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</row>
    <row r="378">
      <c r="B378" s="44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</row>
    <row r="379">
      <c r="B379" s="44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</row>
    <row r="380">
      <c r="B380" s="44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</row>
    <row r="381">
      <c r="B381" s="44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</row>
    <row r="382">
      <c r="B382" s="44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</row>
    <row r="383">
      <c r="B383" s="44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</row>
    <row r="384">
      <c r="B384" s="44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</row>
    <row r="385">
      <c r="B385" s="44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</row>
    <row r="386">
      <c r="B386" s="44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</row>
    <row r="387">
      <c r="B387" s="44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</row>
    <row r="388">
      <c r="B388" s="44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</row>
    <row r="389">
      <c r="B389" s="44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</row>
    <row r="390">
      <c r="B390" s="44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</row>
    <row r="391">
      <c r="B391" s="44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</row>
    <row r="392">
      <c r="B392" s="44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</row>
    <row r="393">
      <c r="B393" s="44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</row>
    <row r="394">
      <c r="B394" s="44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</row>
    <row r="395">
      <c r="B395" s="44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</row>
    <row r="396">
      <c r="B396" s="44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</row>
    <row r="397">
      <c r="B397" s="44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</row>
    <row r="398">
      <c r="B398" s="44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</row>
    <row r="399">
      <c r="B399" s="44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</row>
    <row r="400">
      <c r="B400" s="44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</row>
    <row r="401">
      <c r="B401" s="44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</row>
    <row r="402">
      <c r="B402" s="44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</row>
    <row r="403">
      <c r="B403" s="44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</row>
    <row r="404">
      <c r="B404" s="44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</row>
    <row r="405">
      <c r="B405" s="44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</row>
    <row r="406">
      <c r="B406" s="44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</row>
    <row r="407">
      <c r="B407" s="44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</row>
    <row r="408">
      <c r="B408" s="44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</row>
    <row r="409">
      <c r="B409" s="44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</row>
    <row r="410">
      <c r="B410" s="44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</row>
    <row r="411">
      <c r="B411" s="44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</row>
    <row r="412">
      <c r="B412" s="44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</row>
    <row r="413">
      <c r="B413" s="44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</row>
    <row r="414">
      <c r="B414" s="44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</row>
    <row r="415">
      <c r="B415" s="44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</row>
    <row r="416">
      <c r="B416" s="44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</row>
    <row r="417">
      <c r="B417" s="44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</row>
    <row r="418">
      <c r="B418" s="44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</row>
    <row r="419">
      <c r="B419" s="44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</row>
    <row r="420">
      <c r="B420" s="44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</row>
    <row r="421">
      <c r="B421" s="44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</row>
    <row r="422">
      <c r="B422" s="44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</row>
    <row r="423">
      <c r="B423" s="44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</row>
    <row r="424">
      <c r="B424" s="44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</row>
    <row r="425">
      <c r="B425" s="44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</row>
    <row r="426">
      <c r="B426" s="44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</row>
    <row r="427">
      <c r="B427" s="44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</row>
    <row r="428">
      <c r="B428" s="44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</row>
    <row r="429">
      <c r="B429" s="44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</row>
    <row r="430">
      <c r="B430" s="44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</row>
    <row r="431">
      <c r="B431" s="44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</row>
    <row r="432">
      <c r="B432" s="44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</row>
    <row r="433">
      <c r="B433" s="44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</row>
    <row r="434">
      <c r="B434" s="44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</row>
    <row r="435">
      <c r="B435" s="44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</row>
    <row r="436">
      <c r="B436" s="44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</row>
    <row r="437">
      <c r="B437" s="44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</row>
    <row r="438">
      <c r="B438" s="44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</row>
    <row r="439">
      <c r="B439" s="44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</row>
    <row r="440">
      <c r="B440" s="44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</row>
    <row r="441">
      <c r="B441" s="44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</row>
    <row r="442">
      <c r="B442" s="44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</row>
    <row r="443">
      <c r="B443" s="44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</row>
    <row r="444">
      <c r="B444" s="44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</row>
    <row r="445">
      <c r="B445" s="44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</row>
    <row r="446">
      <c r="B446" s="44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</row>
    <row r="447">
      <c r="B447" s="44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</row>
    <row r="448">
      <c r="B448" s="44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</row>
    <row r="449">
      <c r="B449" s="44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</row>
    <row r="450">
      <c r="B450" s="44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</row>
    <row r="451">
      <c r="B451" s="44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</row>
    <row r="452">
      <c r="B452" s="44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</row>
    <row r="453">
      <c r="B453" s="44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</row>
    <row r="454">
      <c r="B454" s="44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</row>
    <row r="455">
      <c r="B455" s="44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</row>
    <row r="456">
      <c r="B456" s="44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</row>
    <row r="457">
      <c r="B457" s="44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</row>
    <row r="458">
      <c r="B458" s="44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</row>
    <row r="459">
      <c r="B459" s="44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</row>
    <row r="460">
      <c r="B460" s="44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</row>
    <row r="461">
      <c r="B461" s="44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</row>
    <row r="462">
      <c r="B462" s="44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</row>
    <row r="463">
      <c r="B463" s="44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</row>
    <row r="464">
      <c r="B464" s="44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</row>
    <row r="465">
      <c r="B465" s="44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</row>
    <row r="466">
      <c r="B466" s="44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</row>
    <row r="467">
      <c r="B467" s="44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</row>
    <row r="468">
      <c r="B468" s="44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</row>
    <row r="469">
      <c r="B469" s="44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</row>
    <row r="470">
      <c r="B470" s="44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</row>
    <row r="471">
      <c r="B471" s="44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</row>
    <row r="472">
      <c r="B472" s="44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</row>
    <row r="473">
      <c r="B473" s="44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</row>
    <row r="474">
      <c r="B474" s="44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</row>
    <row r="475">
      <c r="B475" s="44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</row>
    <row r="476">
      <c r="B476" s="44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</row>
    <row r="477">
      <c r="B477" s="44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</row>
    <row r="478">
      <c r="B478" s="44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</row>
    <row r="479">
      <c r="B479" s="44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</row>
    <row r="480">
      <c r="B480" s="44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</row>
    <row r="481">
      <c r="B481" s="44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</row>
    <row r="482">
      <c r="B482" s="44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</row>
    <row r="483">
      <c r="B483" s="44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</row>
    <row r="484">
      <c r="B484" s="44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</row>
    <row r="485">
      <c r="B485" s="44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</row>
    <row r="486">
      <c r="B486" s="44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</row>
    <row r="487">
      <c r="B487" s="44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</row>
    <row r="488">
      <c r="B488" s="44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</row>
    <row r="489">
      <c r="B489" s="44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</row>
    <row r="490">
      <c r="B490" s="44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</row>
    <row r="491">
      <c r="B491" s="44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</row>
    <row r="492">
      <c r="B492" s="44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</row>
    <row r="493">
      <c r="B493" s="44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</row>
    <row r="494">
      <c r="B494" s="44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</row>
    <row r="495">
      <c r="B495" s="44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</row>
    <row r="496">
      <c r="B496" s="44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</row>
    <row r="497">
      <c r="B497" s="44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</row>
    <row r="498">
      <c r="B498" s="44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</row>
    <row r="499">
      <c r="B499" s="44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</row>
    <row r="500">
      <c r="B500" s="44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</row>
    <row r="501">
      <c r="B501" s="44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</row>
    <row r="502">
      <c r="B502" s="44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</row>
    <row r="503">
      <c r="B503" s="44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</row>
    <row r="504">
      <c r="B504" s="44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</row>
    <row r="505">
      <c r="B505" s="44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</row>
    <row r="506">
      <c r="B506" s="44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</row>
    <row r="507">
      <c r="B507" s="44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</row>
    <row r="508">
      <c r="B508" s="44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</row>
    <row r="509">
      <c r="B509" s="44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</row>
    <row r="510">
      <c r="B510" s="44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</row>
    <row r="511">
      <c r="B511" s="44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</row>
    <row r="512">
      <c r="B512" s="44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</row>
    <row r="513">
      <c r="B513" s="44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</row>
    <row r="514">
      <c r="B514" s="44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</row>
    <row r="515">
      <c r="B515" s="44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</row>
    <row r="516">
      <c r="B516" s="44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</row>
    <row r="517">
      <c r="B517" s="44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</row>
    <row r="518">
      <c r="B518" s="44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</row>
    <row r="519">
      <c r="B519" s="44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</row>
    <row r="520">
      <c r="B520" s="44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</row>
    <row r="521">
      <c r="B521" s="44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</row>
    <row r="522">
      <c r="B522" s="44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</row>
    <row r="523">
      <c r="B523" s="44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</row>
    <row r="524">
      <c r="B524" s="44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</row>
    <row r="525">
      <c r="B525" s="44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</row>
    <row r="526">
      <c r="B526" s="44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</row>
    <row r="527">
      <c r="B527" s="44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</row>
    <row r="528">
      <c r="B528" s="44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</row>
    <row r="529">
      <c r="B529" s="44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</row>
    <row r="530">
      <c r="B530" s="44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</row>
    <row r="531">
      <c r="B531" s="44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</row>
    <row r="532">
      <c r="B532" s="44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</row>
    <row r="533">
      <c r="B533" s="44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</row>
    <row r="534">
      <c r="B534" s="44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</row>
    <row r="535">
      <c r="B535" s="44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</row>
    <row r="536">
      <c r="B536" s="44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</row>
    <row r="537">
      <c r="B537" s="44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</row>
    <row r="538">
      <c r="B538" s="44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</row>
    <row r="539">
      <c r="B539" s="44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</row>
    <row r="540">
      <c r="B540" s="44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</row>
    <row r="541">
      <c r="B541" s="44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</row>
    <row r="542">
      <c r="B542" s="44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</row>
    <row r="543">
      <c r="B543" s="44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</row>
    <row r="544">
      <c r="B544" s="44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</row>
    <row r="545">
      <c r="B545" s="44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</row>
    <row r="546">
      <c r="B546" s="44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</row>
    <row r="547">
      <c r="B547" s="44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</row>
    <row r="548">
      <c r="B548" s="44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</row>
    <row r="549">
      <c r="B549" s="44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</row>
    <row r="550">
      <c r="B550" s="44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</row>
    <row r="551">
      <c r="B551" s="44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</row>
    <row r="552">
      <c r="B552" s="44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</row>
    <row r="553">
      <c r="B553" s="44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</row>
    <row r="554">
      <c r="B554" s="44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</row>
    <row r="555">
      <c r="B555" s="44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</row>
    <row r="556">
      <c r="B556" s="44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</row>
    <row r="557">
      <c r="B557" s="44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</row>
    <row r="558">
      <c r="B558" s="44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</row>
    <row r="559">
      <c r="B559" s="44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</row>
    <row r="560">
      <c r="B560" s="44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</row>
    <row r="561">
      <c r="B561" s="44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</row>
    <row r="562">
      <c r="B562" s="44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</row>
    <row r="563">
      <c r="B563" s="44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</row>
    <row r="564">
      <c r="B564" s="44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</row>
    <row r="565">
      <c r="B565" s="44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</row>
    <row r="566">
      <c r="B566" s="44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</row>
    <row r="567">
      <c r="B567" s="44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</row>
    <row r="568">
      <c r="B568" s="44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</row>
    <row r="569">
      <c r="B569" s="44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</row>
    <row r="570">
      <c r="B570" s="44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</row>
    <row r="571">
      <c r="B571" s="44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</row>
    <row r="572">
      <c r="B572" s="44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</row>
    <row r="573">
      <c r="B573" s="44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</row>
    <row r="574">
      <c r="B574" s="44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</row>
    <row r="575">
      <c r="B575" s="44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</row>
    <row r="576">
      <c r="B576" s="44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</row>
    <row r="577">
      <c r="B577" s="44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</row>
    <row r="578">
      <c r="B578" s="44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</row>
    <row r="579">
      <c r="B579" s="44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</row>
    <row r="580">
      <c r="B580" s="44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</row>
    <row r="581">
      <c r="B581" s="44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</row>
    <row r="582">
      <c r="B582" s="44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</row>
    <row r="583">
      <c r="B583" s="44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</row>
    <row r="584">
      <c r="B584" s="44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</row>
    <row r="585">
      <c r="B585" s="44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</row>
    <row r="586">
      <c r="B586" s="44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</row>
    <row r="587">
      <c r="B587" s="44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</row>
    <row r="588">
      <c r="B588" s="44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</row>
    <row r="589">
      <c r="B589" s="44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</row>
    <row r="590">
      <c r="B590" s="44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</row>
    <row r="591">
      <c r="B591" s="44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</row>
    <row r="592">
      <c r="B592" s="44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</row>
    <row r="593">
      <c r="B593" s="44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</row>
    <row r="594">
      <c r="B594" s="44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</row>
    <row r="595">
      <c r="B595" s="44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</row>
    <row r="596">
      <c r="B596" s="44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</row>
    <row r="597">
      <c r="B597" s="44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</row>
    <row r="598">
      <c r="B598" s="44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</row>
    <row r="599">
      <c r="B599" s="44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</row>
    <row r="600">
      <c r="B600" s="44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</row>
    <row r="601">
      <c r="B601" s="44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</row>
    <row r="602">
      <c r="B602" s="44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</row>
    <row r="603">
      <c r="B603" s="44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</row>
    <row r="604">
      <c r="B604" s="44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</row>
    <row r="605">
      <c r="B605" s="44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</row>
    <row r="606">
      <c r="B606" s="44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</row>
    <row r="607">
      <c r="B607" s="44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</row>
    <row r="608">
      <c r="B608" s="44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</row>
    <row r="609">
      <c r="B609" s="44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</row>
    <row r="610">
      <c r="B610" s="44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</row>
    <row r="611">
      <c r="B611" s="44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</row>
    <row r="612">
      <c r="B612" s="44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</row>
    <row r="613">
      <c r="B613" s="44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</row>
    <row r="614">
      <c r="B614" s="44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</row>
    <row r="615">
      <c r="B615" s="44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</row>
    <row r="616">
      <c r="B616" s="44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</row>
    <row r="617">
      <c r="B617" s="44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</row>
    <row r="618">
      <c r="B618" s="44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</row>
    <row r="619">
      <c r="B619" s="44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</row>
    <row r="620">
      <c r="B620" s="44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</row>
    <row r="621">
      <c r="B621" s="44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</row>
    <row r="622">
      <c r="B622" s="44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</row>
    <row r="623">
      <c r="B623" s="44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</row>
    <row r="624">
      <c r="B624" s="44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</row>
    <row r="625">
      <c r="B625" s="44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</row>
    <row r="626">
      <c r="B626" s="44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</row>
    <row r="627">
      <c r="B627" s="44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</row>
    <row r="628">
      <c r="B628" s="44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</row>
    <row r="629">
      <c r="B629" s="44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</row>
    <row r="630">
      <c r="B630" s="44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</row>
    <row r="631">
      <c r="B631" s="44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</row>
    <row r="632">
      <c r="B632" s="44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</row>
    <row r="633">
      <c r="B633" s="44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</row>
    <row r="634">
      <c r="B634" s="44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</row>
    <row r="635">
      <c r="B635" s="44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</row>
    <row r="636">
      <c r="B636" s="44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</row>
    <row r="637">
      <c r="B637" s="44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</row>
    <row r="638">
      <c r="B638" s="44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</row>
    <row r="639">
      <c r="B639" s="44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</row>
    <row r="640">
      <c r="B640" s="44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</row>
    <row r="641">
      <c r="B641" s="44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</row>
    <row r="642">
      <c r="B642" s="44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</row>
    <row r="643">
      <c r="B643" s="44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</row>
    <row r="644">
      <c r="B644" s="44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</row>
    <row r="645">
      <c r="B645" s="44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</row>
    <row r="646">
      <c r="B646" s="44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</row>
    <row r="647">
      <c r="B647" s="44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</row>
    <row r="648">
      <c r="B648" s="44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</row>
    <row r="649">
      <c r="B649" s="44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</row>
    <row r="650">
      <c r="B650" s="44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</row>
    <row r="651">
      <c r="B651" s="44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</row>
    <row r="652">
      <c r="B652" s="44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</row>
    <row r="653">
      <c r="B653" s="44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</row>
    <row r="654">
      <c r="B654" s="44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</row>
    <row r="655">
      <c r="B655" s="44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</row>
    <row r="656">
      <c r="B656" s="44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</row>
    <row r="657">
      <c r="B657" s="44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</row>
    <row r="658">
      <c r="B658" s="44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</row>
    <row r="659">
      <c r="B659" s="44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</row>
    <row r="660">
      <c r="B660" s="44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</row>
    <row r="661">
      <c r="B661" s="44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</row>
    <row r="662">
      <c r="B662" s="44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</row>
    <row r="663">
      <c r="B663" s="44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</row>
    <row r="664">
      <c r="B664" s="44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</row>
    <row r="665">
      <c r="B665" s="44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</row>
    <row r="666">
      <c r="B666" s="44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</row>
    <row r="667">
      <c r="B667" s="44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</row>
    <row r="668">
      <c r="B668" s="44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</row>
    <row r="669">
      <c r="B669" s="44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</row>
    <row r="670">
      <c r="B670" s="44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</row>
    <row r="671">
      <c r="B671" s="44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</row>
    <row r="672">
      <c r="B672" s="44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</row>
    <row r="673">
      <c r="B673" s="44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</row>
    <row r="674">
      <c r="B674" s="44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</row>
    <row r="675">
      <c r="B675" s="44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</row>
    <row r="676">
      <c r="B676" s="44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</row>
    <row r="677">
      <c r="B677" s="44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</row>
    <row r="678">
      <c r="B678" s="44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</row>
    <row r="679">
      <c r="B679" s="44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</row>
    <row r="680">
      <c r="B680" s="44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</row>
    <row r="681">
      <c r="B681" s="44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</row>
    <row r="682">
      <c r="B682" s="44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</row>
    <row r="683">
      <c r="B683" s="44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</row>
    <row r="684">
      <c r="B684" s="44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</row>
    <row r="685">
      <c r="B685" s="44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</row>
    <row r="686">
      <c r="B686" s="44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</row>
    <row r="687">
      <c r="B687" s="44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</row>
    <row r="688">
      <c r="B688" s="44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</row>
    <row r="689">
      <c r="B689" s="44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</row>
    <row r="690">
      <c r="B690" s="44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</row>
    <row r="691">
      <c r="B691" s="44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</row>
    <row r="692">
      <c r="B692" s="44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</row>
    <row r="693">
      <c r="B693" s="44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</row>
    <row r="694">
      <c r="B694" s="44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</row>
    <row r="695">
      <c r="B695" s="44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</row>
    <row r="696">
      <c r="B696" s="44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</row>
    <row r="697">
      <c r="B697" s="44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</row>
    <row r="698">
      <c r="B698" s="44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</row>
    <row r="699">
      <c r="B699" s="44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</row>
    <row r="700">
      <c r="B700" s="44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</row>
    <row r="701">
      <c r="B701" s="44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</row>
    <row r="702">
      <c r="B702" s="44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</row>
    <row r="703">
      <c r="B703" s="44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</row>
    <row r="704">
      <c r="B704" s="44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</row>
    <row r="705">
      <c r="B705" s="44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</row>
    <row r="706">
      <c r="B706" s="44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</row>
    <row r="707">
      <c r="B707" s="44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</row>
    <row r="708">
      <c r="B708" s="44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</row>
    <row r="709">
      <c r="B709" s="44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</row>
    <row r="710">
      <c r="B710" s="44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</row>
    <row r="711">
      <c r="B711" s="44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</row>
    <row r="712">
      <c r="B712" s="44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</row>
    <row r="713">
      <c r="B713" s="44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</row>
    <row r="714">
      <c r="B714" s="44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</row>
    <row r="715">
      <c r="B715" s="44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</row>
    <row r="716">
      <c r="B716" s="44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</row>
    <row r="717">
      <c r="B717" s="44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</row>
    <row r="718">
      <c r="B718" s="44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</row>
    <row r="719">
      <c r="B719" s="44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</row>
    <row r="720">
      <c r="B720" s="44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</row>
    <row r="721">
      <c r="B721" s="44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</row>
    <row r="722">
      <c r="B722" s="44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</row>
    <row r="723">
      <c r="B723" s="44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</row>
    <row r="724">
      <c r="B724" s="44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</row>
    <row r="725">
      <c r="B725" s="44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</row>
    <row r="726">
      <c r="B726" s="44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</row>
    <row r="727">
      <c r="B727" s="44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</row>
    <row r="728">
      <c r="B728" s="44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</row>
    <row r="729">
      <c r="B729" s="44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</row>
    <row r="730">
      <c r="B730" s="44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</row>
    <row r="731">
      <c r="B731" s="44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</row>
    <row r="732">
      <c r="B732" s="44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</row>
    <row r="733">
      <c r="B733" s="44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</row>
    <row r="734">
      <c r="B734" s="44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</row>
    <row r="735">
      <c r="B735" s="44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</row>
    <row r="736">
      <c r="B736" s="44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</row>
    <row r="737">
      <c r="B737" s="44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</row>
    <row r="738">
      <c r="B738" s="44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</row>
    <row r="739">
      <c r="B739" s="44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</row>
    <row r="740">
      <c r="B740" s="44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</row>
    <row r="741">
      <c r="B741" s="44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</row>
    <row r="742">
      <c r="B742" s="44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</row>
    <row r="743">
      <c r="B743" s="44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</row>
    <row r="744">
      <c r="B744" s="44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</row>
    <row r="745">
      <c r="B745" s="44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</row>
    <row r="746">
      <c r="B746" s="44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</row>
    <row r="747">
      <c r="B747" s="44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</row>
    <row r="748">
      <c r="B748" s="44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</row>
    <row r="749">
      <c r="B749" s="44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</row>
    <row r="750">
      <c r="B750" s="44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</row>
    <row r="751">
      <c r="B751" s="44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</row>
    <row r="752">
      <c r="B752" s="44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</row>
    <row r="753">
      <c r="B753" s="44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</row>
    <row r="754">
      <c r="B754" s="44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</row>
    <row r="755">
      <c r="B755" s="44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</row>
    <row r="756">
      <c r="B756" s="44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</row>
    <row r="757">
      <c r="B757" s="44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</row>
    <row r="758">
      <c r="B758" s="44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</row>
    <row r="759">
      <c r="B759" s="44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</row>
    <row r="760">
      <c r="B760" s="44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</row>
    <row r="761">
      <c r="B761" s="44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</row>
    <row r="762">
      <c r="B762" s="44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</row>
    <row r="763">
      <c r="B763" s="44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</row>
    <row r="764">
      <c r="B764" s="44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</row>
    <row r="765">
      <c r="B765" s="44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</row>
    <row r="766">
      <c r="B766" s="44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</row>
    <row r="767">
      <c r="B767" s="44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</row>
    <row r="768">
      <c r="B768" s="44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</row>
    <row r="769">
      <c r="B769" s="44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</row>
    <row r="770">
      <c r="B770" s="44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</row>
    <row r="771">
      <c r="B771" s="44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</row>
    <row r="772">
      <c r="B772" s="44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</row>
    <row r="773">
      <c r="B773" s="44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</row>
    <row r="774">
      <c r="B774" s="44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</row>
    <row r="775">
      <c r="B775" s="44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</row>
    <row r="776">
      <c r="B776" s="44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</row>
    <row r="777">
      <c r="B777" s="44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</row>
    <row r="778">
      <c r="B778" s="44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</row>
    <row r="779">
      <c r="B779" s="44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</row>
    <row r="780">
      <c r="B780" s="44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</row>
    <row r="781">
      <c r="B781" s="44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</row>
    <row r="782">
      <c r="B782" s="44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</row>
    <row r="783">
      <c r="B783" s="44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</row>
    <row r="784">
      <c r="B784" s="44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</row>
    <row r="785">
      <c r="B785" s="44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</row>
    <row r="786">
      <c r="B786" s="44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</row>
    <row r="787">
      <c r="B787" s="44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</row>
    <row r="788">
      <c r="B788" s="44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</row>
    <row r="789">
      <c r="B789" s="44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</row>
    <row r="790">
      <c r="B790" s="44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</row>
    <row r="791">
      <c r="B791" s="44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</row>
    <row r="792">
      <c r="B792" s="44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</row>
    <row r="793">
      <c r="B793" s="44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</row>
    <row r="794">
      <c r="B794" s="44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</row>
    <row r="795">
      <c r="B795" s="44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</row>
    <row r="796">
      <c r="B796" s="44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</row>
    <row r="797">
      <c r="B797" s="44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</row>
    <row r="798">
      <c r="B798" s="44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</row>
    <row r="799">
      <c r="B799" s="44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</row>
    <row r="800">
      <c r="B800" s="44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</row>
    <row r="801">
      <c r="B801" s="44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</row>
    <row r="802">
      <c r="B802" s="44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</row>
    <row r="803">
      <c r="B803" s="44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</row>
    <row r="804">
      <c r="B804" s="44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</row>
    <row r="805">
      <c r="B805" s="44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</row>
    <row r="806">
      <c r="B806" s="44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</row>
    <row r="807">
      <c r="B807" s="44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</row>
    <row r="808">
      <c r="B808" s="44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</row>
    <row r="809">
      <c r="B809" s="44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</row>
    <row r="810">
      <c r="B810" s="44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</row>
    <row r="811">
      <c r="B811" s="44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</row>
    <row r="812">
      <c r="B812" s="44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</row>
    <row r="813">
      <c r="B813" s="44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</row>
    <row r="814">
      <c r="B814" s="44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</row>
    <row r="815">
      <c r="B815" s="44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</row>
    <row r="816">
      <c r="B816" s="44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</row>
    <row r="817">
      <c r="B817" s="44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</row>
    <row r="818">
      <c r="B818" s="44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</row>
    <row r="819">
      <c r="B819" s="44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</row>
    <row r="820">
      <c r="B820" s="44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</row>
    <row r="821">
      <c r="B821" s="44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</row>
    <row r="822">
      <c r="B822" s="44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</row>
    <row r="823">
      <c r="B823" s="44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</row>
    <row r="824">
      <c r="B824" s="44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</row>
    <row r="825">
      <c r="B825" s="44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</row>
    <row r="826">
      <c r="B826" s="44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</row>
    <row r="827">
      <c r="B827" s="44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</row>
    <row r="828">
      <c r="B828" s="44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</row>
    <row r="829">
      <c r="B829" s="44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</row>
    <row r="830">
      <c r="B830" s="44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</row>
    <row r="831">
      <c r="B831" s="44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</row>
    <row r="832">
      <c r="B832" s="44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</row>
    <row r="833">
      <c r="B833" s="44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</row>
    <row r="834">
      <c r="B834" s="44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</row>
    <row r="835">
      <c r="B835" s="44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</row>
    <row r="836">
      <c r="B836" s="44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</row>
    <row r="837">
      <c r="B837" s="44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</row>
    <row r="838">
      <c r="B838" s="44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</row>
    <row r="839">
      <c r="B839" s="44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</row>
    <row r="840">
      <c r="B840" s="44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</row>
    <row r="841">
      <c r="B841" s="44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</row>
    <row r="842">
      <c r="B842" s="44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</row>
    <row r="843">
      <c r="B843" s="44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</row>
    <row r="844">
      <c r="B844" s="44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</row>
    <row r="845">
      <c r="B845" s="44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</row>
    <row r="846">
      <c r="B846" s="44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</row>
    <row r="847">
      <c r="B847" s="44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</row>
    <row r="848">
      <c r="B848" s="44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</row>
    <row r="849">
      <c r="B849" s="44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</row>
    <row r="850">
      <c r="B850" s="44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</row>
    <row r="851">
      <c r="B851" s="44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</row>
    <row r="852">
      <c r="B852" s="44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</row>
    <row r="853">
      <c r="B853" s="44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</row>
    <row r="854">
      <c r="B854" s="44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</row>
    <row r="855">
      <c r="B855" s="44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</row>
    <row r="856">
      <c r="B856" s="44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</row>
    <row r="857">
      <c r="B857" s="44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</row>
    <row r="858">
      <c r="B858" s="44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</row>
    <row r="859">
      <c r="B859" s="44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</row>
    <row r="860">
      <c r="B860" s="44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</row>
    <row r="861">
      <c r="B861" s="44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</row>
    <row r="862">
      <c r="B862" s="44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</row>
    <row r="863">
      <c r="B863" s="44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</row>
    <row r="864">
      <c r="B864" s="44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</row>
    <row r="865">
      <c r="B865" s="44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</row>
    <row r="866">
      <c r="B866" s="44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</row>
    <row r="867">
      <c r="B867" s="44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</row>
    <row r="868">
      <c r="B868" s="44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</row>
    <row r="869">
      <c r="B869" s="44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</row>
    <row r="870">
      <c r="B870" s="44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</row>
    <row r="871">
      <c r="B871" s="44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</row>
    <row r="872">
      <c r="B872" s="44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</row>
    <row r="873">
      <c r="B873" s="44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</row>
    <row r="874">
      <c r="B874" s="44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</row>
    <row r="875">
      <c r="B875" s="44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</row>
    <row r="876">
      <c r="B876" s="44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</row>
    <row r="877">
      <c r="B877" s="44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</row>
    <row r="878">
      <c r="B878" s="44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</row>
    <row r="879">
      <c r="B879" s="44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</row>
    <row r="880">
      <c r="B880" s="44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</row>
    <row r="881">
      <c r="B881" s="44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</row>
    <row r="882">
      <c r="B882" s="44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</row>
    <row r="883">
      <c r="B883" s="44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</row>
    <row r="884">
      <c r="B884" s="44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</row>
    <row r="885">
      <c r="B885" s="44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</row>
    <row r="886">
      <c r="B886" s="44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</row>
    <row r="887">
      <c r="B887" s="44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</row>
    <row r="888">
      <c r="B888" s="44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</row>
    <row r="889">
      <c r="B889" s="44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</row>
    <row r="890">
      <c r="B890" s="44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</row>
    <row r="891">
      <c r="B891" s="44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</row>
    <row r="892">
      <c r="B892" s="44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</row>
    <row r="893">
      <c r="B893" s="44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</row>
    <row r="894">
      <c r="B894" s="44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</row>
    <row r="895">
      <c r="B895" s="44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</row>
    <row r="896">
      <c r="B896" s="44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</row>
    <row r="897">
      <c r="B897" s="44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</row>
    <row r="898">
      <c r="B898" s="44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</row>
    <row r="899">
      <c r="B899" s="44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</row>
    <row r="900">
      <c r="B900" s="44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</row>
    <row r="901">
      <c r="B901" s="44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</row>
    <row r="902">
      <c r="B902" s="44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</row>
    <row r="903">
      <c r="B903" s="44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</row>
    <row r="904">
      <c r="B904" s="44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</row>
    <row r="905">
      <c r="B905" s="44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</row>
    <row r="906">
      <c r="B906" s="44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</row>
    <row r="907">
      <c r="B907" s="44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</row>
    <row r="908">
      <c r="B908" s="44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</row>
    <row r="909">
      <c r="B909" s="44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</row>
    <row r="910">
      <c r="B910" s="44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</row>
    <row r="911">
      <c r="B911" s="44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</row>
    <row r="912">
      <c r="B912" s="44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</row>
    <row r="913">
      <c r="B913" s="44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</row>
    <row r="914">
      <c r="B914" s="44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</row>
    <row r="915">
      <c r="B915" s="44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</row>
    <row r="916">
      <c r="B916" s="44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</row>
    <row r="917">
      <c r="B917" s="44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</row>
    <row r="918">
      <c r="B918" s="44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</row>
    <row r="919">
      <c r="B919" s="44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</row>
    <row r="920">
      <c r="B920" s="44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</row>
    <row r="921">
      <c r="B921" s="44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</row>
    <row r="922">
      <c r="B922" s="44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</row>
    <row r="923">
      <c r="B923" s="44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</row>
    <row r="924">
      <c r="B924" s="44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</row>
    <row r="925">
      <c r="B925" s="44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</row>
    <row r="926">
      <c r="B926" s="44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</row>
    <row r="927">
      <c r="B927" s="44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</row>
    <row r="928">
      <c r="B928" s="44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</row>
    <row r="929">
      <c r="B929" s="44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</row>
    <row r="930">
      <c r="B930" s="44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</row>
    <row r="931">
      <c r="B931" s="44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</row>
    <row r="932">
      <c r="B932" s="44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</row>
    <row r="933">
      <c r="B933" s="44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</row>
    <row r="934">
      <c r="B934" s="44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</row>
    <row r="935">
      <c r="B935" s="44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</row>
    <row r="936">
      <c r="B936" s="44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</row>
    <row r="937">
      <c r="B937" s="44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</row>
    <row r="938">
      <c r="B938" s="44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</row>
    <row r="939">
      <c r="B939" s="44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</row>
    <row r="940">
      <c r="B940" s="44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</row>
    <row r="941">
      <c r="B941" s="44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</row>
    <row r="942">
      <c r="B942" s="44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</row>
    <row r="943">
      <c r="B943" s="44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</row>
    <row r="944">
      <c r="B944" s="44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</row>
    <row r="945">
      <c r="B945" s="44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</row>
    <row r="946">
      <c r="B946" s="44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</row>
    <row r="947">
      <c r="B947" s="44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</row>
    <row r="948">
      <c r="B948" s="44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</row>
    <row r="949">
      <c r="B949" s="44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</row>
    <row r="950">
      <c r="B950" s="44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</row>
    <row r="951">
      <c r="B951" s="44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</row>
    <row r="952">
      <c r="B952" s="44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</row>
    <row r="953">
      <c r="B953" s="44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</row>
    <row r="954">
      <c r="B954" s="44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</row>
    <row r="955">
      <c r="B955" s="44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</row>
    <row r="956">
      <c r="B956" s="44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</row>
    <row r="957">
      <c r="B957" s="44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</row>
    <row r="958">
      <c r="B958" s="44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</row>
    <row r="959">
      <c r="B959" s="44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</row>
    <row r="960">
      <c r="B960" s="44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</row>
    <row r="961">
      <c r="B961" s="44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</row>
    <row r="962">
      <c r="B962" s="44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</row>
    <row r="963">
      <c r="B963" s="44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</row>
    <row r="964">
      <c r="B964" s="44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</row>
    <row r="965">
      <c r="B965" s="44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</row>
    <row r="966">
      <c r="B966" s="44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</row>
    <row r="967">
      <c r="B967" s="44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</row>
    <row r="968">
      <c r="B968" s="44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</row>
    <row r="969">
      <c r="B969" s="44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</row>
    <row r="970">
      <c r="B970" s="44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</row>
    <row r="971">
      <c r="B971" s="44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</row>
    <row r="972">
      <c r="B972" s="44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</row>
    <row r="973">
      <c r="B973" s="44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</row>
    <row r="974">
      <c r="B974" s="44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</row>
    <row r="975">
      <c r="B975" s="44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</row>
    <row r="976">
      <c r="B976" s="44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</row>
    <row r="977">
      <c r="B977" s="44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</row>
    <row r="978">
      <c r="B978" s="44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</row>
    <row r="979">
      <c r="B979" s="44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</row>
    <row r="980">
      <c r="B980" s="44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</row>
    <row r="981">
      <c r="B981" s="44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</row>
    <row r="982">
      <c r="B982" s="44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</row>
    <row r="983">
      <c r="B983" s="44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</row>
    <row r="984">
      <c r="B984" s="44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</row>
    <row r="985">
      <c r="B985" s="44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</row>
    <row r="986">
      <c r="B986" s="44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</row>
    <row r="987">
      <c r="B987" s="44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</row>
    <row r="988">
      <c r="B988" s="44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</row>
    <row r="989">
      <c r="B989" s="44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</row>
    <row r="990">
      <c r="B990" s="44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</row>
    <row r="991">
      <c r="B991" s="44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</row>
    <row r="992">
      <c r="B992" s="44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</row>
    <row r="993">
      <c r="B993" s="44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</row>
    <row r="994">
      <c r="B994" s="44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</row>
    <row r="995">
      <c r="B995" s="44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</row>
    <row r="996">
      <c r="B996" s="44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</row>
    <row r="997">
      <c r="B997" s="44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</row>
    <row r="998">
      <c r="B998" s="44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</row>
    <row r="999">
      <c r="B999" s="44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</row>
    <row r="1000">
      <c r="B1000" s="44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</row>
    <row r="1001">
      <c r="B1001" s="44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</row>
    <row r="1002">
      <c r="B1002" s="44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</row>
    <row r="1003">
      <c r="B1003" s="44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</row>
    <row r="1004">
      <c r="B1004" s="44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</row>
    <row r="1005">
      <c r="B1005" s="44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</row>
    <row r="1006">
      <c r="B1006" s="44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</row>
    <row r="1007">
      <c r="B1007" s="44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</row>
    <row r="1008">
      <c r="B1008" s="44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</row>
    <row r="1009">
      <c r="B1009" s="44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</row>
    <row r="1010">
      <c r="B1010" s="44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</row>
  </sheetData>
  <drawing r:id="rId1"/>
</worksheet>
</file>